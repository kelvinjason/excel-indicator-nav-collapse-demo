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0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elvinjason/.openclaw/workspace/excel-indicator-nav-collapse-demo/"/>
    </mc:Choice>
  </mc:AlternateContent>
  <xr:revisionPtr revIDLastSave="0" documentId="8_{A7F3421B-0B74-E24B-89F1-89637E57B80A}" xr6:coauthVersionLast="47" xr6:coauthVersionMax="47" xr10:uidLastSave="{00000000-0000-0000-0000-000000000000}"/>
  <bookViews>
    <workbookView xWindow="0" yWindow="600" windowWidth="38400" windowHeight="19200" activeTab="1" xr2:uid="{00000000-000D-0000-FFFF-FFFF00000000}"/>
  </bookViews>
  <sheets>
    <sheet name="Summary" sheetId="1" r:id="rId1"/>
    <sheet name="Indicator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1" l="1"/>
  <c r="C22" i="1"/>
  <c r="C21" i="1"/>
  <c r="C20" i="1"/>
  <c r="C19" i="1"/>
  <c r="C18" i="1"/>
  <c r="C17" i="1"/>
  <c r="C16" i="1"/>
  <c r="C15" i="1"/>
  <c r="C14" i="1"/>
  <c r="C13" i="1"/>
  <c r="C12" i="1"/>
</calcChain>
</file>

<file path=xl/sharedStrings.xml><?xml version="1.0" encoding="utf-8"?>
<sst xmlns="http://schemas.openxmlformats.org/spreadsheetml/2006/main" count="332" uniqueCount="112">
  <si>
    <t>Indicator Navigation Demo</t>
  </si>
  <si>
    <t>Click an indicator name to jump to its detail anchor on the Indicators sheet. Indicator groups are collapsed by default in the detail sheet.</t>
  </si>
  <si>
    <t>Category</t>
  </si>
  <si>
    <t>Owner</t>
  </si>
  <si>
    <t>Indicators</t>
  </si>
  <si>
    <t>On Track</t>
  </si>
  <si>
    <t>Watch</t>
  </si>
  <si>
    <t>Risk</t>
  </si>
  <si>
    <t>Avg. Progress</t>
  </si>
  <si>
    <t>Traffic</t>
  </si>
  <si>
    <t>Growth Team</t>
  </si>
  <si>
    <t>Conversion</t>
  </si>
  <si>
    <t>Product Team</t>
  </si>
  <si>
    <t>Revenue</t>
  </si>
  <si>
    <t>Commercial Ops</t>
  </si>
  <si>
    <t>Retention</t>
  </si>
  <si>
    <t>Customer Success</t>
  </si>
  <si>
    <t>Indicator ID</t>
  </si>
  <si>
    <t>Indicator Name (clickable)</t>
  </si>
  <si>
    <t>Current</t>
  </si>
  <si>
    <t>Target</t>
  </si>
  <si>
    <t>Status</t>
  </si>
  <si>
    <t>Trend</t>
  </si>
  <si>
    <t>Last Update</t>
  </si>
  <si>
    <t>TRF-001</t>
  </si>
  <si>
    <t>↗ +6.3%</t>
  </si>
  <si>
    <t>2026-04-08</t>
  </si>
  <si>
    <t>TRF-002</t>
  </si>
  <si>
    <t>↗ +0.4pt</t>
  </si>
  <si>
    <t>TRF-003</t>
  </si>
  <si>
    <t>↘ -1.1pt</t>
  </si>
  <si>
    <t>CNV-001</t>
  </si>
  <si>
    <t>↗ +0.6pt</t>
  </si>
  <si>
    <t>CNV-002</t>
  </si>
  <si>
    <t>→ flat</t>
  </si>
  <si>
    <t>CNV-003</t>
  </si>
  <si>
    <t>↗ +1.2pt</t>
  </si>
  <si>
    <t>REV-001</t>
  </si>
  <si>
    <t>↗ +4.9%</t>
  </si>
  <si>
    <t>REV-002</t>
  </si>
  <si>
    <t>↗ +3.1%</t>
  </si>
  <si>
    <t>REV-003</t>
  </si>
  <si>
    <t>RET-001</t>
  </si>
  <si>
    <t>↗ +1.5pt</t>
  </si>
  <si>
    <t>RET-002</t>
  </si>
  <si>
    <t>↘ -0.2pt</t>
  </si>
  <si>
    <t>RET-003</t>
  </si>
  <si>
    <t>↗ +3</t>
  </si>
  <si>
    <t>Indicator Detail Sheet</t>
  </si>
  <si>
    <t>Each category is collapsed by default. Use Excel's native outline +/- controls on the left to expand/collapse a category block.</t>
  </si>
  <si>
    <t>＋</t>
  </si>
  <si>
    <t>CAT-01</t>
  </si>
  <si>
    <t>Traffic Indicators</t>
  </si>
  <si>
    <t>Category summary row. Expand below for the detailed table.</t>
  </si>
  <si>
    <t>-</t>
  </si>
  <si>
    <t>Collapsed by default</t>
  </si>
  <si>
    <t>Use outline +/-</t>
  </si>
  <si>
    <t>Tip: click a Summary indicator to land on a specific detail row.</t>
  </si>
  <si>
    <t>Toggle</t>
  </si>
  <si>
    <t>Indicator Name</t>
  </si>
  <si>
    <t>Definition</t>
  </si>
  <si>
    <t>Unit</t>
  </si>
  <si>
    <t>Update Date</t>
  </si>
  <si>
    <t>Notes</t>
  </si>
  <si>
    <t>－</t>
  </si>
  <si>
    <t>Website Sessions</t>
  </si>
  <si>
    <t>Total qualified sessions from all acquisition channels.</t>
  </si>
  <si>
    <t>sessions</t>
  </si>
  <si>
    <t>Strong uplift from paid social and SEO refresh.</t>
  </si>
  <si>
    <t>Organic CTR</t>
  </si>
  <si>
    <t>Click-through rate from organic search impressions.</t>
  </si>
  <si>
    <t>%</t>
  </si>
  <si>
    <t>Meta title rewrite is improving click quality.</t>
  </si>
  <si>
    <t>Landing Page Bounce Rate</t>
  </si>
  <si>
    <t>Percentage of visitors leaving after viewing one page.</t>
  </si>
  <si>
    <t>Still above target; hero section content needs cleanup.</t>
  </si>
  <si>
    <t>CAT-02</t>
  </si>
  <si>
    <t>Conversion Indicators</t>
  </si>
  <si>
    <t>Signup Conversion Rate</t>
  </si>
  <si>
    <t>Percentage of visitors completing account registration.</t>
  </si>
  <si>
    <t>New registration flow reduced drop-off on mobile.</t>
  </si>
  <si>
    <t>Demo Request Rate</t>
  </si>
  <si>
    <t>Share of qualified leads requesting a product demo.</t>
  </si>
  <si>
    <t>CTA wording is under A/B test this week.</t>
  </si>
  <si>
    <t>Checkout Completion Rate</t>
  </si>
  <si>
    <t>Percentage of carts that complete payment successfully.</t>
  </si>
  <si>
    <t>Payment retries helped but address validation is still noisy.</t>
  </si>
  <si>
    <t>CAT-03</t>
  </si>
  <si>
    <t>Revenue Indicators</t>
  </si>
  <si>
    <t>Monthly Recurring Revenue</t>
  </si>
  <si>
    <t>Recurring subscription revenue recognized in the month.</t>
  </si>
  <si>
    <t>USD</t>
  </si>
  <si>
    <t>Enterprise expansion deals are pacing slightly behind plan.</t>
  </si>
  <si>
    <t>Average Order Value</t>
  </si>
  <si>
    <t>Average net order value after discounts and returns.</t>
  </si>
  <si>
    <t>Bundle attach rate improved after pricing refresh.</t>
  </si>
  <si>
    <t>Gross Margin</t>
  </si>
  <si>
    <t>Revenue remaining after direct cost of goods sold.</t>
  </si>
  <si>
    <t>Fulfillment cost spike dragged margin in week 1.</t>
  </si>
  <si>
    <t>CAT-04</t>
  </si>
  <si>
    <t>Retention Indicators</t>
  </si>
  <si>
    <t>30-Day Retention Rate</t>
  </si>
  <si>
    <t>Percentage of new users active again within 30 days.</t>
  </si>
  <si>
    <t>Lifecycle messaging helped but activation still needs work.</t>
  </si>
  <si>
    <t>Logo Churn Rate</t>
  </si>
  <si>
    <t>Percentage of active customers lost during the month.</t>
  </si>
  <si>
    <t>Improving, but still above the acceptable threshold.</t>
  </si>
  <si>
    <t>Net Promoter Score</t>
  </si>
  <si>
    <t>Customer advocacy score from post-interaction surveys.</t>
  </si>
  <si>
    <t>score</t>
  </si>
  <si>
    <t>Support quality gains are visible in promoter comments.</t>
  </si>
  <si>
    <t>Retention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</si>
</sst>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%"/>
    <numFmt numFmtId="177" formatCode="0.0"/>
    <numFmt numFmtId="178" formatCode="\$#,##0.0"/>
    <numFmt numFmtId="179" formatCode="#,##0.0"/>
  </numFmts>
  <fonts count="6">
    <font>
      <sz val="11"/>
      <color theme="1"/>
      <name val="宋体"/>
      <family val="2"/>
      <scheme val="minor"/>
    </font>
    <font>
      <b/>
      <sz val="14"/>
      <color rgb="FFFFFFFF"/>
      <name val="宋体"/>
      <charset val="134"/>
    </font>
    <font>
      <b/>
      <sz val="11"/>
      <name val="宋体"/>
      <charset val="134"/>
    </font>
    <font>
      <u/>
      <sz val="11"/>
      <color rgb="FF0563C1"/>
      <name val="宋体"/>
      <charset val="134"/>
    </font>
    <font>
      <sz val="9"/>
      <name val="宋体"/>
      <family val="3"/>
      <charset val="134"/>
      <scheme val="minor"/>
    </font>
    <font>
      <b/>
      <sz val="11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rgb="FF0F172A"/>
      </patternFill>
    </fill>
    <fill>
      <patternFill patternType="solid">
        <fgColor rgb="FFE2E8F0"/>
      </patternFill>
    </fill>
    <fill>
      <patternFill patternType="solid">
        <fgColor rgb="FFDBEAFE"/>
      </patternFill>
    </fill>
    <fill>
      <patternFill patternType="solid">
        <fgColor rgb="FFFEF3C7"/>
      </patternFill>
    </fill>
    <fill>
      <patternFill patternType="solid">
        <fgColor rgb="FFFEE2E2"/>
      </patternFill>
    </fill>
    <fill>
      <patternFill patternType="solid">
        <fgColor rgb="FFDCFCE7"/>
      </patternFill>
    </fill>
  </fills>
  <borders count="2">
    <border>
      <left/>
      <right/>
      <top/>
      <bottom/>
      <diagonal/>
    </border>
    <border>
      <left style="thin">
        <color rgb="FFD0D7DE"/>
      </left>
      <right style="thin">
        <color rgb="FFD0D7DE"/>
      </right>
      <top style="thin">
        <color rgb="FFD0D7DE"/>
      </top>
      <bottom style="thin">
        <color rgb="FFD0D7DE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top" wrapText="1"/>
    </xf>
    <xf numFmtId="176" fontId="0" fillId="0" borderId="1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left" vertical="top" wrapText="1"/>
    </xf>
    <xf numFmtId="3" fontId="0" fillId="0" borderId="1" xfId="0" applyNumberFormat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top" wrapText="1"/>
    </xf>
    <xf numFmtId="0" fontId="0" fillId="5" borderId="1" xfId="0" applyFill="1" applyBorder="1" applyAlignment="1">
      <alignment horizontal="left" vertical="top" wrapText="1"/>
    </xf>
    <xf numFmtId="0" fontId="0" fillId="6" borderId="1" xfId="0" applyFill="1" applyBorder="1" applyAlignment="1">
      <alignment horizontal="left" vertical="top" wrapText="1"/>
    </xf>
    <xf numFmtId="0" fontId="0" fillId="7" borderId="1" xfId="0" applyFill="1" applyBorder="1" applyAlignment="1">
      <alignment horizontal="left" vertical="top" wrapText="1"/>
    </xf>
    <xf numFmtId="0" fontId="1" fillId="2" borderId="0" xfId="0" applyFont="1" applyFill="1" applyAlignment="1">
      <alignment horizontal="left" vertical="top" wrapText="1"/>
    </xf>
    <xf numFmtId="0" fontId="0" fillId="0" borderId="0" xfId="0"/>
    <xf numFmtId="0" fontId="0" fillId="0" borderId="0" xfId="0" applyAlignment="1">
      <alignment horizontal="left" vertical="top" wrapText="1"/>
    </xf>
    <xf numFmtId="0" fontId="5" fillId="4" borderId="1" xfId="0" applyFont="1" applyFill="1" applyBorder="1" applyAlignment="1">
      <alignment horizontal="left" vertical="top" wrapText="1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ummaryIndicators" displayName="SummaryIndicators" ref="A11:I23">
  <autoFilter ref="A11:I23" xr:uid="{00000000-0009-0000-0100-000001000000}"/>
  <tableColumns count="9">
    <tableColumn id="1" xr3:uid="{00000000-0010-0000-0000-000001000000}" name="Category"/>
    <tableColumn id="2" xr3:uid="{00000000-0010-0000-0000-000002000000}" name="Indicator ID"/>
    <tableColumn id="3" xr3:uid="{00000000-0010-0000-0000-000003000000}" name="Indicator Name (clickable)"/>
    <tableColumn id="4" xr3:uid="{00000000-0010-0000-0000-000004000000}" name="Current"/>
    <tableColumn id="5" xr3:uid="{00000000-0010-0000-0000-000005000000}" name="Target"/>
    <tableColumn id="6" xr3:uid="{00000000-0010-0000-0000-000006000000}" name="Status"/>
    <tableColumn id="7" xr3:uid="{00000000-0010-0000-0000-000007000000}" name="Trend"/>
    <tableColumn id="8" xr3:uid="{00000000-0010-0000-0000-000008000000}" name="Owner"/>
    <tableColumn id="9" xr3:uid="{00000000-0010-0000-0000-000009000000}" name="Last Update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Traffic" displayName="Tbl_Traffic" ref="A5:M8">
  <autoFilter ref="A5:M8" xr:uid="{00000000-0009-0000-0100-000002000000}"/>
  <tableColumns count="13">
    <tableColumn id="1" xr3:uid="{00000000-0010-0000-0100-000001000000}" name="Toggle"/>
    <tableColumn id="2" xr3:uid="{00000000-0010-0000-0100-000002000000}" name="Category"/>
    <tableColumn id="3" xr3:uid="{00000000-0010-0000-0100-000003000000}" name="Indicator ID"/>
    <tableColumn id="4" xr3:uid="{00000000-0010-0000-0100-000004000000}" name="Indicator Name"/>
    <tableColumn id="5" xr3:uid="{00000000-0010-0000-0100-000005000000}" name="Definition"/>
    <tableColumn id="6" xr3:uid="{00000000-0010-0000-0100-000006000000}" name="Unit"/>
    <tableColumn id="7" xr3:uid="{00000000-0010-0000-0100-000007000000}" name="Current"/>
    <tableColumn id="8" xr3:uid="{00000000-0010-0000-0100-000008000000}" name="Target"/>
    <tableColumn id="9" xr3:uid="{00000000-0010-0000-0100-000009000000}" name="Status"/>
    <tableColumn id="10" xr3:uid="{00000000-0010-0000-0100-00000A000000}" name="Trend"/>
    <tableColumn id="11" xr3:uid="{00000000-0010-0000-0100-00000B000000}" name="Update Date"/>
    <tableColumn id="12" xr3:uid="{00000000-0010-0000-0100-00000C000000}" name="Owner"/>
    <tableColumn id="13" xr3:uid="{00000000-0010-0000-0100-00000D000000}" name="Not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_Conversion" displayName="Tbl_Conversion" ref="A11:M14">
  <autoFilter ref="A11:M14" xr:uid="{00000000-0009-0000-0100-000003000000}"/>
  <tableColumns count="13">
    <tableColumn id="1" xr3:uid="{00000000-0010-0000-0200-000001000000}" name="Toggle"/>
    <tableColumn id="2" xr3:uid="{00000000-0010-0000-0200-000002000000}" name="Category"/>
    <tableColumn id="3" xr3:uid="{00000000-0010-0000-0200-000003000000}" name="Indicator ID"/>
    <tableColumn id="4" xr3:uid="{00000000-0010-0000-0200-000004000000}" name="Indicator Name"/>
    <tableColumn id="5" xr3:uid="{00000000-0010-0000-0200-000005000000}" name="Definition"/>
    <tableColumn id="6" xr3:uid="{00000000-0010-0000-0200-000006000000}" name="Unit"/>
    <tableColumn id="7" xr3:uid="{00000000-0010-0000-0200-000007000000}" name="Current"/>
    <tableColumn id="8" xr3:uid="{00000000-0010-0000-0200-000008000000}" name="Target"/>
    <tableColumn id="9" xr3:uid="{00000000-0010-0000-0200-000009000000}" name="Status"/>
    <tableColumn id="10" xr3:uid="{00000000-0010-0000-0200-00000A000000}" name="Trend"/>
    <tableColumn id="11" xr3:uid="{00000000-0010-0000-0200-00000B000000}" name="Update Date"/>
    <tableColumn id="12" xr3:uid="{00000000-0010-0000-0200-00000C000000}" name="Owner"/>
    <tableColumn id="13" xr3:uid="{00000000-0010-0000-0200-00000D000000}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_Revenue" displayName="Tbl_Revenue" ref="A17:M20">
  <autoFilter ref="A17:M20" xr:uid="{00000000-0009-0000-0100-000004000000}"/>
  <tableColumns count="13">
    <tableColumn id="1" xr3:uid="{00000000-0010-0000-0300-000001000000}" name="Toggle"/>
    <tableColumn id="2" xr3:uid="{00000000-0010-0000-0300-000002000000}" name="Category"/>
    <tableColumn id="3" xr3:uid="{00000000-0010-0000-0300-000003000000}" name="Indicator ID"/>
    <tableColumn id="4" xr3:uid="{00000000-0010-0000-0300-000004000000}" name="Indicator Name"/>
    <tableColumn id="5" xr3:uid="{00000000-0010-0000-0300-000005000000}" name="Definition"/>
    <tableColumn id="6" xr3:uid="{00000000-0010-0000-0300-000006000000}" name="Unit"/>
    <tableColumn id="7" xr3:uid="{00000000-0010-0000-0300-000007000000}" name="Current"/>
    <tableColumn id="8" xr3:uid="{00000000-0010-0000-0300-000008000000}" name="Target"/>
    <tableColumn id="9" xr3:uid="{00000000-0010-0000-0300-000009000000}" name="Status"/>
    <tableColumn id="10" xr3:uid="{00000000-0010-0000-0300-00000A000000}" name="Trend"/>
    <tableColumn id="11" xr3:uid="{00000000-0010-0000-0300-00000B000000}" name="Update Date"/>
    <tableColumn id="12" xr3:uid="{00000000-0010-0000-0300-00000C000000}" name="Owner"/>
    <tableColumn id="13" xr3:uid="{00000000-0010-0000-0300-00000D000000}" name="Not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_Retention" displayName="Tbl_Retention" ref="A23:M26">
  <autoFilter ref="A23:M26" xr:uid="{00000000-0009-0000-0100-000005000000}"/>
  <tableColumns count="13">
    <tableColumn id="1" xr3:uid="{00000000-0010-0000-0400-000001000000}" name="Toggle"/>
    <tableColumn id="2" xr3:uid="{00000000-0010-0000-0400-000002000000}" name="Category"/>
    <tableColumn id="3" xr3:uid="{00000000-0010-0000-0400-000003000000}" name="Indicator ID"/>
    <tableColumn id="4" xr3:uid="{00000000-0010-0000-0400-000004000000}" name="Indicator Name"/>
    <tableColumn id="5" xr3:uid="{00000000-0010-0000-0400-000005000000}" name="Definition"/>
    <tableColumn id="6" xr3:uid="{00000000-0010-0000-0400-000006000000}" name="Unit"/>
    <tableColumn id="7" xr3:uid="{00000000-0010-0000-0400-000007000000}" name="Current"/>
    <tableColumn id="8" xr3:uid="{00000000-0010-0000-0400-000008000000}" name="Target"/>
    <tableColumn id="9" xr3:uid="{00000000-0010-0000-0400-000009000000}" name="Status"/>
    <tableColumn id="10" xr3:uid="{00000000-0010-0000-0400-00000A000000}" name="Trend"/>
    <tableColumn id="11" xr3:uid="{00000000-0010-0000-0400-00000B000000}" name="Update Date"/>
    <tableColumn id="12" xr3:uid="{00000000-0010-0000-0400-00000C000000}" name="Owner"/>
    <tableColumn id="13" xr3:uid="{00000000-0010-0000-0400-00000D000000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3"/>
  <sheetViews>
    <sheetView workbookViewId="0">
      <pane ySplit="3" topLeftCell="A4" activePane="bottomLeft" state="frozen"/>
      <selection pane="bottomLeft" activeCell="C21" sqref="C21"/>
    </sheetView>
  </sheetViews>
  <sheetFormatPr baseColWidth="10" defaultColWidth="8.83203125" defaultRowHeight="14"/>
  <cols>
    <col min="1" max="2" width="14" customWidth="1"/>
    <col min="3" max="3" width="30" customWidth="1"/>
    <col min="4" max="7" width="12" customWidth="1"/>
    <col min="8" max="8" width="18" customWidth="1"/>
    <col min="9" max="9" width="14" customWidth="1"/>
  </cols>
  <sheetData>
    <row r="1" spans="1:9">
      <c r="A1" s="18" t="s">
        <v>0</v>
      </c>
      <c r="B1" s="19"/>
      <c r="C1" s="19"/>
      <c r="D1" s="19"/>
      <c r="E1" s="19"/>
      <c r="F1" s="19"/>
      <c r="G1" s="19"/>
      <c r="H1" s="19"/>
      <c r="I1" s="19"/>
    </row>
    <row r="2" spans="1:9">
      <c r="A2" s="20" t="s">
        <v>1</v>
      </c>
      <c r="B2" s="19"/>
      <c r="C2" s="19"/>
      <c r="D2" s="19"/>
      <c r="E2" s="19"/>
      <c r="F2" s="19"/>
      <c r="G2" s="19"/>
      <c r="H2" s="19"/>
      <c r="I2" s="19"/>
    </row>
    <row r="4" spans="1:9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  <c r="G4" s="1" t="s">
        <v>8</v>
      </c>
    </row>
    <row r="5" spans="1:9" ht="15">
      <c r="A5" s="2" t="s">
        <v>9</v>
      </c>
      <c r="B5" s="3" t="s">
        <v>10</v>
      </c>
      <c r="C5" s="2">
        <v>3</v>
      </c>
      <c r="D5" s="2">
        <v>0</v>
      </c>
      <c r="E5" s="2">
        <v>1</v>
      </c>
      <c r="F5" s="2">
        <v>2</v>
      </c>
      <c r="G5" s="4">
        <v>0.93013946689339355</v>
      </c>
    </row>
    <row r="6" spans="1:9" ht="15">
      <c r="A6" s="2" t="s">
        <v>11</v>
      </c>
      <c r="B6" s="3" t="s">
        <v>12</v>
      </c>
      <c r="C6" s="2">
        <v>3</v>
      </c>
      <c r="D6" s="2">
        <v>1</v>
      </c>
      <c r="E6" s="2">
        <v>1</v>
      </c>
      <c r="F6" s="2">
        <v>1</v>
      </c>
      <c r="G6" s="4">
        <v>0.95619047619047615</v>
      </c>
    </row>
    <row r="7" spans="1:9" ht="30">
      <c r="A7" s="2" t="s">
        <v>13</v>
      </c>
      <c r="B7" s="3" t="s">
        <v>14</v>
      </c>
      <c r="C7" s="2">
        <v>3</v>
      </c>
      <c r="D7" s="2">
        <v>1</v>
      </c>
      <c r="E7" s="2">
        <v>2</v>
      </c>
      <c r="F7" s="2">
        <v>0</v>
      </c>
      <c r="G7" s="4">
        <v>0.9975396825396825</v>
      </c>
    </row>
    <row r="8" spans="1:9" ht="30">
      <c r="A8" s="2" t="s">
        <v>15</v>
      </c>
      <c r="B8" s="3" t="s">
        <v>16</v>
      </c>
      <c r="C8" s="2">
        <v>3</v>
      </c>
      <c r="D8" s="2">
        <v>0</v>
      </c>
      <c r="E8" s="2">
        <v>1</v>
      </c>
      <c r="F8" s="2">
        <v>2</v>
      </c>
      <c r="G8" s="4">
        <v>0.90222222222222215</v>
      </c>
    </row>
    <row r="11" spans="1:9">
      <c r="A11" s="1" t="s">
        <v>2</v>
      </c>
      <c r="B11" s="1" t="s">
        <v>17</v>
      </c>
      <c r="C11" s="1" t="s">
        <v>18</v>
      </c>
      <c r="D11" s="1" t="s">
        <v>19</v>
      </c>
      <c r="E11" s="1" t="s">
        <v>20</v>
      </c>
      <c r="F11" s="1" t="s">
        <v>21</v>
      </c>
      <c r="G11" s="1" t="s">
        <v>22</v>
      </c>
      <c r="H11" s="1" t="s">
        <v>3</v>
      </c>
      <c r="I11" s="1" t="s">
        <v>23</v>
      </c>
    </row>
    <row r="12" spans="1:9" ht="15">
      <c r="A12" s="3" t="s">
        <v>9</v>
      </c>
      <c r="B12" s="3" t="s">
        <v>24</v>
      </c>
      <c r="C12" s="5" t="str">
        <f>HYPERLINK("#'Indicators'!A6","Website Sessions")</f>
        <v>Website Sessions</v>
      </c>
      <c r="D12" s="6">
        <v>128400</v>
      </c>
      <c r="E12" s="6">
        <v>135000</v>
      </c>
      <c r="F12" s="7" t="s">
        <v>6</v>
      </c>
      <c r="G12" s="3" t="s">
        <v>25</v>
      </c>
      <c r="H12" s="3" t="s">
        <v>10</v>
      </c>
      <c r="I12" s="3" t="s">
        <v>26</v>
      </c>
    </row>
    <row r="13" spans="1:9" ht="15">
      <c r="A13" s="3" t="s">
        <v>9</v>
      </c>
      <c r="B13" s="3" t="s">
        <v>27</v>
      </c>
      <c r="C13" s="5" t="str">
        <f>HYPERLINK("#'Indicators'!A7","Organic CTR")</f>
        <v>Organic CTR</v>
      </c>
      <c r="D13" s="8">
        <v>4.8</v>
      </c>
      <c r="E13" s="8">
        <v>5.2</v>
      </c>
      <c r="F13" s="9" t="s">
        <v>7</v>
      </c>
      <c r="G13" s="3" t="s">
        <v>28</v>
      </c>
      <c r="H13" s="3" t="s">
        <v>10</v>
      </c>
      <c r="I13" s="3" t="s">
        <v>26</v>
      </c>
    </row>
    <row r="14" spans="1:9" ht="15">
      <c r="A14" s="3" t="s">
        <v>9</v>
      </c>
      <c r="B14" s="3" t="s">
        <v>29</v>
      </c>
      <c r="C14" s="5" t="str">
        <f>HYPERLINK("#'Indicators'!A8","Landing Page Bounce Rate")</f>
        <v>Landing Page Bounce Rate</v>
      </c>
      <c r="D14" s="8">
        <v>38.200000000000003</v>
      </c>
      <c r="E14" s="8">
        <v>35</v>
      </c>
      <c r="F14" s="9" t="s">
        <v>7</v>
      </c>
      <c r="G14" s="3" t="s">
        <v>30</v>
      </c>
      <c r="H14" s="3" t="s">
        <v>10</v>
      </c>
      <c r="I14" s="3" t="s">
        <v>26</v>
      </c>
    </row>
    <row r="15" spans="1:9" ht="15">
      <c r="A15" s="3" t="s">
        <v>11</v>
      </c>
      <c r="B15" s="3" t="s">
        <v>31</v>
      </c>
      <c r="C15" s="5" t="str">
        <f>HYPERLINK("#'Indicators'!A12","Signup Conversion Rate")</f>
        <v>Signup Conversion Rate</v>
      </c>
      <c r="D15" s="8">
        <v>7.4</v>
      </c>
      <c r="E15" s="8">
        <v>7</v>
      </c>
      <c r="F15" s="10" t="s">
        <v>5</v>
      </c>
      <c r="G15" s="3" t="s">
        <v>32</v>
      </c>
      <c r="H15" s="3" t="s">
        <v>12</v>
      </c>
      <c r="I15" s="3" t="s">
        <v>26</v>
      </c>
    </row>
    <row r="16" spans="1:9" ht="15">
      <c r="A16" s="3" t="s">
        <v>11</v>
      </c>
      <c r="B16" s="3" t="s">
        <v>33</v>
      </c>
      <c r="C16" s="5" t="str">
        <f>HYPERLINK("#'Indicators'!A13","Demo Request Rate")</f>
        <v>Demo Request Rate</v>
      </c>
      <c r="D16" s="8">
        <v>2.1</v>
      </c>
      <c r="E16" s="8">
        <v>2.5</v>
      </c>
      <c r="F16" s="9" t="s">
        <v>7</v>
      </c>
      <c r="G16" s="3" t="s">
        <v>34</v>
      </c>
      <c r="H16" s="3" t="s">
        <v>12</v>
      </c>
      <c r="I16" s="3" t="s">
        <v>26</v>
      </c>
    </row>
    <row r="17" spans="1:9" ht="15">
      <c r="A17" s="3" t="s">
        <v>11</v>
      </c>
      <c r="B17" s="3" t="s">
        <v>35</v>
      </c>
      <c r="C17" s="5" t="str">
        <f>HYPERLINK("#'Indicators'!A14","Checkout Completion Rate")</f>
        <v>Checkout Completion Rate</v>
      </c>
      <c r="D17" s="8">
        <v>81.599999999999994</v>
      </c>
      <c r="E17" s="8">
        <v>84</v>
      </c>
      <c r="F17" s="7" t="s">
        <v>6</v>
      </c>
      <c r="G17" s="3" t="s">
        <v>36</v>
      </c>
      <c r="H17" s="3" t="s">
        <v>12</v>
      </c>
      <c r="I17" s="3" t="s">
        <v>26</v>
      </c>
    </row>
    <row r="18" spans="1:9" ht="15">
      <c r="A18" s="3" t="s">
        <v>13</v>
      </c>
      <c r="B18" s="3" t="s">
        <v>37</v>
      </c>
      <c r="C18" s="5" t="str">
        <f>HYPERLINK("#'Indicators'!A18","Monthly Recurring Revenue")</f>
        <v>Monthly Recurring Revenue</v>
      </c>
      <c r="D18" s="11">
        <v>486000</v>
      </c>
      <c r="E18" s="11">
        <v>500000</v>
      </c>
      <c r="F18" s="7" t="s">
        <v>6</v>
      </c>
      <c r="G18" s="3" t="s">
        <v>38</v>
      </c>
      <c r="H18" s="3" t="s">
        <v>14</v>
      </c>
      <c r="I18" s="3" t="s">
        <v>26</v>
      </c>
    </row>
    <row r="19" spans="1:9" ht="15">
      <c r="A19" s="3" t="s">
        <v>13</v>
      </c>
      <c r="B19" s="3" t="s">
        <v>39</v>
      </c>
      <c r="C19" s="5" t="str">
        <f>HYPERLINK("#'Indicators'!A19","Average Order Value")</f>
        <v>Average Order Value</v>
      </c>
      <c r="D19" s="11">
        <v>182.4</v>
      </c>
      <c r="E19" s="11">
        <v>175</v>
      </c>
      <c r="F19" s="10" t="s">
        <v>5</v>
      </c>
      <c r="G19" s="3" t="s">
        <v>40</v>
      </c>
      <c r="H19" s="3" t="s">
        <v>14</v>
      </c>
      <c r="I19" s="3" t="s">
        <v>26</v>
      </c>
    </row>
    <row r="20" spans="1:9" ht="15">
      <c r="A20" s="3" t="s">
        <v>13</v>
      </c>
      <c r="B20" s="3" t="s">
        <v>41</v>
      </c>
      <c r="C20" s="5" t="str">
        <f>HYPERLINK("#'Indicators'!A20","Gross Margin")</f>
        <v>Gross Margin</v>
      </c>
      <c r="D20" s="8">
        <v>58.7</v>
      </c>
      <c r="E20" s="8">
        <v>60</v>
      </c>
      <c r="F20" s="7" t="s">
        <v>6</v>
      </c>
      <c r="G20" s="3" t="s">
        <v>34</v>
      </c>
      <c r="H20" s="3" t="s">
        <v>14</v>
      </c>
      <c r="I20" s="3" t="s">
        <v>26</v>
      </c>
    </row>
    <row r="21" spans="1:9" ht="15">
      <c r="A21" s="3" t="s">
        <v>15</v>
      </c>
      <c r="B21" s="3" t="s">
        <v>42</v>
      </c>
      <c r="C21" s="5" t="str">
        <f>HYPERLINK("#'Indicators'!A24","30-Day Retention Rate")</f>
        <v>30-Day Retention Rate</v>
      </c>
      <c r="D21" s="8">
        <v>42.9</v>
      </c>
      <c r="E21" s="8">
        <v>45</v>
      </c>
      <c r="F21" s="7" t="s">
        <v>6</v>
      </c>
      <c r="G21" s="3" t="s">
        <v>43</v>
      </c>
      <c r="H21" s="3" t="s">
        <v>16</v>
      </c>
      <c r="I21" s="3" t="s">
        <v>26</v>
      </c>
    </row>
    <row r="22" spans="1:9" ht="15">
      <c r="A22" s="3" t="s">
        <v>15</v>
      </c>
      <c r="B22" s="3" t="s">
        <v>44</v>
      </c>
      <c r="C22" s="5" t="str">
        <f>HYPERLINK("#'Indicators'!A25","Logo Churn Rate")</f>
        <v>Logo Churn Rate</v>
      </c>
      <c r="D22" s="8">
        <v>1.8</v>
      </c>
      <c r="E22" s="8">
        <v>1.5</v>
      </c>
      <c r="F22" s="9" t="s">
        <v>7</v>
      </c>
      <c r="G22" s="3" t="s">
        <v>45</v>
      </c>
      <c r="H22" s="3" t="s">
        <v>16</v>
      </c>
      <c r="I22" s="3" t="s">
        <v>26</v>
      </c>
    </row>
    <row r="23" spans="1:9" ht="15">
      <c r="A23" s="3" t="s">
        <v>15</v>
      </c>
      <c r="B23" s="3" t="s">
        <v>46</v>
      </c>
      <c r="C23" s="5" t="str">
        <f>HYPERLINK("#'Indicators'!A26","Net Promoter Score")</f>
        <v>Net Promoter Score</v>
      </c>
      <c r="D23" s="12">
        <v>46</v>
      </c>
      <c r="E23" s="12">
        <v>50</v>
      </c>
      <c r="F23" s="9" t="s">
        <v>7</v>
      </c>
      <c r="G23" s="3" t="s">
        <v>47</v>
      </c>
      <c r="H23" s="3" t="s">
        <v>16</v>
      </c>
      <c r="I23" s="3" t="s">
        <v>26</v>
      </c>
    </row>
  </sheetData>
  <mergeCells count="2">
    <mergeCell ref="A1:I1"/>
    <mergeCell ref="A2:I2"/>
  </mergeCells>
  <phoneticPr fontId="4" type="noConversion"/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/>
  </sheetPr>
  <dimension ref="A1:O26"/>
  <sheetViews>
    <sheetView tabSelected="1" workbookViewId="0">
      <pane ySplit="3" topLeftCell="A4" activePane="bottomLeft" state="frozen"/>
      <selection pane="bottomLeft" activeCell="A24" sqref="A24"/>
    </sheetView>
  </sheetViews>
  <sheetFormatPr baseColWidth="10" defaultColWidth="8.83203125" defaultRowHeight="14" outlineLevelRow="1"/>
  <cols>
    <col min="1" max="1" width="10" customWidth="1"/>
    <col min="2" max="3" width="14" customWidth="1"/>
    <col min="4" max="4" width="28" customWidth="1"/>
    <col min="5" max="5" width="42" customWidth="1"/>
    <col min="6" max="8" width="12" customWidth="1"/>
    <col min="9" max="11" width="14" customWidth="1"/>
    <col min="12" max="12" width="18" customWidth="1"/>
    <col min="13" max="13" width="42" customWidth="1"/>
    <col min="14" max="15" width="12" hidden="1" customWidth="1"/>
  </cols>
  <sheetData>
    <row r="1" spans="1:15">
      <c r="A1" s="18" t="s">
        <v>48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</row>
    <row r="2" spans="1:15">
      <c r="A2" s="20" t="s">
        <v>49</v>
      </c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</row>
    <row r="4" spans="1:15" ht="30" collapsed="1">
      <c r="A4" s="13" t="s">
        <v>50</v>
      </c>
      <c r="B4" s="14" t="s">
        <v>9</v>
      </c>
      <c r="C4" s="14" t="s">
        <v>51</v>
      </c>
      <c r="D4" s="14" t="s">
        <v>52</v>
      </c>
      <c r="E4" s="14" t="s">
        <v>53</v>
      </c>
      <c r="F4" s="14" t="s">
        <v>54</v>
      </c>
      <c r="G4" s="13">
        <v>3</v>
      </c>
      <c r="H4" s="13" t="s">
        <v>54</v>
      </c>
      <c r="I4" s="14" t="s">
        <v>55</v>
      </c>
      <c r="J4" s="14" t="s">
        <v>56</v>
      </c>
      <c r="K4" s="13" t="s">
        <v>26</v>
      </c>
      <c r="L4" s="14" t="s">
        <v>10</v>
      </c>
      <c r="M4" s="14" t="s">
        <v>57</v>
      </c>
      <c r="N4">
        <v>5</v>
      </c>
      <c r="O4">
        <v>8</v>
      </c>
    </row>
    <row r="5" spans="1:15" hidden="1" outlineLevel="1">
      <c r="A5" s="1" t="s">
        <v>58</v>
      </c>
      <c r="B5" s="1" t="s">
        <v>2</v>
      </c>
      <c r="C5" s="1" t="s">
        <v>17</v>
      </c>
      <c r="D5" s="1" t="s">
        <v>59</v>
      </c>
      <c r="E5" s="1" t="s">
        <v>60</v>
      </c>
      <c r="F5" s="1" t="s">
        <v>61</v>
      </c>
      <c r="G5" s="1" t="s">
        <v>19</v>
      </c>
      <c r="H5" s="1" t="s">
        <v>20</v>
      </c>
      <c r="I5" s="1" t="s">
        <v>21</v>
      </c>
      <c r="J5" s="1" t="s">
        <v>22</v>
      </c>
      <c r="K5" s="1" t="s">
        <v>62</v>
      </c>
      <c r="L5" s="1" t="s">
        <v>3</v>
      </c>
      <c r="M5" s="1" t="s">
        <v>63</v>
      </c>
    </row>
    <row r="6" spans="1:15" ht="30" hidden="1" outlineLevel="1">
      <c r="A6" s="2" t="s">
        <v>64</v>
      </c>
      <c r="B6" s="3" t="s">
        <v>9</v>
      </c>
      <c r="C6" s="3" t="s">
        <v>24</v>
      </c>
      <c r="D6" s="3" t="s">
        <v>65</v>
      </c>
      <c r="E6" s="3" t="s">
        <v>66</v>
      </c>
      <c r="F6" s="3" t="s">
        <v>67</v>
      </c>
      <c r="G6" s="6">
        <v>128400</v>
      </c>
      <c r="H6" s="6">
        <v>135000</v>
      </c>
      <c r="I6" s="15" t="s">
        <v>6</v>
      </c>
      <c r="J6" s="3" t="s">
        <v>25</v>
      </c>
      <c r="K6" s="2" t="s">
        <v>26</v>
      </c>
      <c r="L6" s="3" t="s">
        <v>10</v>
      </c>
      <c r="M6" s="3" t="s">
        <v>68</v>
      </c>
    </row>
    <row r="7" spans="1:15" ht="30" hidden="1" outlineLevel="1">
      <c r="A7" s="2" t="s">
        <v>64</v>
      </c>
      <c r="B7" s="3" t="s">
        <v>9</v>
      </c>
      <c r="C7" s="3" t="s">
        <v>27</v>
      </c>
      <c r="D7" s="3" t="s">
        <v>69</v>
      </c>
      <c r="E7" s="3" t="s">
        <v>70</v>
      </c>
      <c r="F7" s="3" t="s">
        <v>71</v>
      </c>
      <c r="G7" s="8">
        <v>4.8</v>
      </c>
      <c r="H7" s="8">
        <v>5.2</v>
      </c>
      <c r="I7" s="16" t="s">
        <v>7</v>
      </c>
      <c r="J7" s="3" t="s">
        <v>28</v>
      </c>
      <c r="K7" s="2" t="s">
        <v>26</v>
      </c>
      <c r="L7" s="3" t="s">
        <v>10</v>
      </c>
      <c r="M7" s="3" t="s">
        <v>72</v>
      </c>
    </row>
    <row r="8" spans="1:15" ht="30" hidden="1" outlineLevel="1">
      <c r="A8" s="2" t="s">
        <v>64</v>
      </c>
      <c r="B8" s="3" t="s">
        <v>9</v>
      </c>
      <c r="C8" s="3" t="s">
        <v>29</v>
      </c>
      <c r="D8" s="3" t="s">
        <v>73</v>
      </c>
      <c r="E8" s="3" t="s">
        <v>74</v>
      </c>
      <c r="F8" s="3" t="s">
        <v>71</v>
      </c>
      <c r="G8" s="8">
        <v>38.200000000000003</v>
      </c>
      <c r="H8" s="8">
        <v>35</v>
      </c>
      <c r="I8" s="16" t="s">
        <v>7</v>
      </c>
      <c r="J8" s="3" t="s">
        <v>30</v>
      </c>
      <c r="K8" s="2" t="s">
        <v>26</v>
      </c>
      <c r="L8" s="3" t="s">
        <v>10</v>
      </c>
      <c r="M8" s="3" t="s">
        <v>75</v>
      </c>
    </row>
    <row r="10" spans="1:15" ht="30" collapsed="1">
      <c r="A10" s="13" t="s">
        <v>50</v>
      </c>
      <c r="B10" s="14" t="s">
        <v>11</v>
      </c>
      <c r="C10" s="14" t="s">
        <v>76</v>
      </c>
      <c r="D10" s="14" t="s">
        <v>77</v>
      </c>
      <c r="E10" s="14" t="s">
        <v>53</v>
      </c>
      <c r="F10" s="14" t="s">
        <v>54</v>
      </c>
      <c r="G10" s="13">
        <v>3</v>
      </c>
      <c r="H10" s="13" t="s">
        <v>54</v>
      </c>
      <c r="I10" s="14" t="s">
        <v>55</v>
      </c>
      <c r="J10" s="14" t="s">
        <v>56</v>
      </c>
      <c r="K10" s="13" t="s">
        <v>26</v>
      </c>
      <c r="L10" s="14" t="s">
        <v>12</v>
      </c>
      <c r="M10" s="14" t="s">
        <v>57</v>
      </c>
      <c r="N10">
        <v>11</v>
      </c>
      <c r="O10">
        <v>14</v>
      </c>
    </row>
    <row r="11" spans="1:15" hidden="1" outlineLevel="1">
      <c r="A11" s="1" t="s">
        <v>58</v>
      </c>
      <c r="B11" s="1" t="s">
        <v>2</v>
      </c>
      <c r="C11" s="1" t="s">
        <v>17</v>
      </c>
      <c r="D11" s="1" t="s">
        <v>59</v>
      </c>
      <c r="E11" s="1" t="s">
        <v>60</v>
      </c>
      <c r="F11" s="1" t="s">
        <v>61</v>
      </c>
      <c r="G11" s="1" t="s">
        <v>19</v>
      </c>
      <c r="H11" s="1" t="s">
        <v>20</v>
      </c>
      <c r="I11" s="1" t="s">
        <v>21</v>
      </c>
      <c r="J11" s="1" t="s">
        <v>22</v>
      </c>
      <c r="K11" s="1" t="s">
        <v>62</v>
      </c>
      <c r="L11" s="1" t="s">
        <v>3</v>
      </c>
      <c r="M11" s="1" t="s">
        <v>63</v>
      </c>
    </row>
    <row r="12" spans="1:15" ht="30" hidden="1" outlineLevel="1">
      <c r="A12" s="2" t="s">
        <v>64</v>
      </c>
      <c r="B12" s="3" t="s">
        <v>11</v>
      </c>
      <c r="C12" s="3" t="s">
        <v>31</v>
      </c>
      <c r="D12" s="3" t="s">
        <v>78</v>
      </c>
      <c r="E12" s="3" t="s">
        <v>79</v>
      </c>
      <c r="F12" s="3" t="s">
        <v>71</v>
      </c>
      <c r="G12" s="8">
        <v>7.4</v>
      </c>
      <c r="H12" s="8">
        <v>7</v>
      </c>
      <c r="I12" s="17" t="s">
        <v>5</v>
      </c>
      <c r="J12" s="3" t="s">
        <v>32</v>
      </c>
      <c r="K12" s="2" t="s">
        <v>26</v>
      </c>
      <c r="L12" s="3" t="s">
        <v>12</v>
      </c>
      <c r="M12" s="3" t="s">
        <v>80</v>
      </c>
    </row>
    <row r="13" spans="1:15" ht="30" hidden="1" outlineLevel="1">
      <c r="A13" s="2" t="s">
        <v>64</v>
      </c>
      <c r="B13" s="3" t="s">
        <v>11</v>
      </c>
      <c r="C13" s="3" t="s">
        <v>33</v>
      </c>
      <c r="D13" s="3" t="s">
        <v>81</v>
      </c>
      <c r="E13" s="3" t="s">
        <v>82</v>
      </c>
      <c r="F13" s="3" t="s">
        <v>71</v>
      </c>
      <c r="G13" s="8">
        <v>2.1</v>
      </c>
      <c r="H13" s="8">
        <v>2.5</v>
      </c>
      <c r="I13" s="16" t="s">
        <v>7</v>
      </c>
      <c r="J13" s="3" t="s">
        <v>34</v>
      </c>
      <c r="K13" s="2" t="s">
        <v>26</v>
      </c>
      <c r="L13" s="3" t="s">
        <v>12</v>
      </c>
      <c r="M13" s="3" t="s">
        <v>83</v>
      </c>
    </row>
    <row r="14" spans="1:15" ht="30" hidden="1" outlineLevel="1">
      <c r="A14" s="2" t="s">
        <v>64</v>
      </c>
      <c r="B14" s="3" t="s">
        <v>11</v>
      </c>
      <c r="C14" s="3" t="s">
        <v>35</v>
      </c>
      <c r="D14" s="3" t="s">
        <v>84</v>
      </c>
      <c r="E14" s="3" t="s">
        <v>85</v>
      </c>
      <c r="F14" s="3" t="s">
        <v>71</v>
      </c>
      <c r="G14" s="8">
        <v>81.599999999999994</v>
      </c>
      <c r="H14" s="8">
        <v>84</v>
      </c>
      <c r="I14" s="15" t="s">
        <v>6</v>
      </c>
      <c r="J14" s="3" t="s">
        <v>36</v>
      </c>
      <c r="K14" s="2" t="s">
        <v>26</v>
      </c>
      <c r="L14" s="3" t="s">
        <v>12</v>
      </c>
      <c r="M14" s="3" t="s">
        <v>86</v>
      </c>
    </row>
    <row r="16" spans="1:15" ht="30" collapsed="1">
      <c r="A16" s="13" t="s">
        <v>50</v>
      </c>
      <c r="B16" s="14" t="s">
        <v>13</v>
      </c>
      <c r="C16" s="14" t="s">
        <v>87</v>
      </c>
      <c r="D16" s="14" t="s">
        <v>88</v>
      </c>
      <c r="E16" s="14" t="s">
        <v>53</v>
      </c>
      <c r="F16" s="14" t="s">
        <v>54</v>
      </c>
      <c r="G16" s="13">
        <v>3</v>
      </c>
      <c r="H16" s="13" t="s">
        <v>54</v>
      </c>
      <c r="I16" s="14" t="s">
        <v>55</v>
      </c>
      <c r="J16" s="14" t="s">
        <v>56</v>
      </c>
      <c r="K16" s="13" t="s">
        <v>26</v>
      </c>
      <c r="L16" s="14" t="s">
        <v>14</v>
      </c>
      <c r="M16" s="14" t="s">
        <v>57</v>
      </c>
      <c r="N16">
        <v>17</v>
      </c>
      <c r="O16">
        <v>20</v>
      </c>
    </row>
    <row r="17" spans="1:15" hidden="1" outlineLevel="1">
      <c r="A17" s="1" t="s">
        <v>58</v>
      </c>
      <c r="B17" s="1" t="s">
        <v>2</v>
      </c>
      <c r="C17" s="1" t="s">
        <v>17</v>
      </c>
      <c r="D17" s="1" t="s">
        <v>59</v>
      </c>
      <c r="E17" s="1" t="s">
        <v>60</v>
      </c>
      <c r="F17" s="1" t="s">
        <v>61</v>
      </c>
      <c r="G17" s="1" t="s">
        <v>19</v>
      </c>
      <c r="H17" s="1" t="s">
        <v>20</v>
      </c>
      <c r="I17" s="1" t="s">
        <v>21</v>
      </c>
      <c r="J17" s="1" t="s">
        <v>22</v>
      </c>
      <c r="K17" s="1" t="s">
        <v>62</v>
      </c>
      <c r="L17" s="1" t="s">
        <v>3</v>
      </c>
      <c r="M17" s="1" t="s">
        <v>63</v>
      </c>
    </row>
    <row r="18" spans="1:15" ht="30" hidden="1" outlineLevel="1">
      <c r="A18" s="2" t="s">
        <v>64</v>
      </c>
      <c r="B18" s="3" t="s">
        <v>13</v>
      </c>
      <c r="C18" s="3" t="s">
        <v>37</v>
      </c>
      <c r="D18" s="3" t="s">
        <v>89</v>
      </c>
      <c r="E18" s="3" t="s">
        <v>90</v>
      </c>
      <c r="F18" s="3" t="s">
        <v>91</v>
      </c>
      <c r="G18" s="11">
        <v>486000</v>
      </c>
      <c r="H18" s="11">
        <v>500000</v>
      </c>
      <c r="I18" s="15" t="s">
        <v>6</v>
      </c>
      <c r="J18" s="3" t="s">
        <v>38</v>
      </c>
      <c r="K18" s="2" t="s">
        <v>26</v>
      </c>
      <c r="L18" s="3" t="s">
        <v>14</v>
      </c>
      <c r="M18" s="3" t="s">
        <v>92</v>
      </c>
    </row>
    <row r="19" spans="1:15" ht="30" hidden="1" outlineLevel="1">
      <c r="A19" s="2" t="s">
        <v>64</v>
      </c>
      <c r="B19" s="3" t="s">
        <v>13</v>
      </c>
      <c r="C19" s="3" t="s">
        <v>39</v>
      </c>
      <c r="D19" s="3" t="s">
        <v>93</v>
      </c>
      <c r="E19" s="3" t="s">
        <v>94</v>
      </c>
      <c r="F19" s="3" t="s">
        <v>91</v>
      </c>
      <c r="G19" s="11">
        <v>182.4</v>
      </c>
      <c r="H19" s="11">
        <v>175</v>
      </c>
      <c r="I19" s="17" t="s">
        <v>5</v>
      </c>
      <c r="J19" s="3" t="s">
        <v>40</v>
      </c>
      <c r="K19" s="2" t="s">
        <v>26</v>
      </c>
      <c r="L19" s="3" t="s">
        <v>14</v>
      </c>
      <c r="M19" s="3" t="s">
        <v>95</v>
      </c>
    </row>
    <row r="20" spans="1:15" ht="30" hidden="1" outlineLevel="1">
      <c r="A20" s="2" t="s">
        <v>64</v>
      </c>
      <c r="B20" s="3" t="s">
        <v>13</v>
      </c>
      <c r="C20" s="3" t="s">
        <v>41</v>
      </c>
      <c r="D20" s="3" t="s">
        <v>96</v>
      </c>
      <c r="E20" s="3" t="s">
        <v>97</v>
      </c>
      <c r="F20" s="3" t="s">
        <v>71</v>
      </c>
      <c r="G20" s="8">
        <v>58.7</v>
      </c>
      <c r="H20" s="8">
        <v>60</v>
      </c>
      <c r="I20" s="15" t="s">
        <v>6</v>
      </c>
      <c r="J20" s="3" t="s">
        <v>34</v>
      </c>
      <c r="K20" s="2" t="s">
        <v>26</v>
      </c>
      <c r="L20" s="3" t="s">
        <v>14</v>
      </c>
      <c r="M20" s="3" t="s">
        <v>98</v>
      </c>
    </row>
    <row r="22" spans="1:15" ht="30" collapsed="1">
      <c r="A22" s="13" t="s">
        <v>50</v>
      </c>
      <c r="B22" s="21" t="s">
        <v>111</v>
      </c>
      <c r="C22" s="14" t="s">
        <v>99</v>
      </c>
      <c r="D22" s="14" t="s">
        <v>100</v>
      </c>
      <c r="E22" s="14" t="s">
        <v>53</v>
      </c>
      <c r="F22" s="14" t="s">
        <v>54</v>
      </c>
      <c r="G22" s="13">
        <v>3</v>
      </c>
      <c r="H22" s="13" t="s">
        <v>54</v>
      </c>
      <c r="I22" s="14" t="s">
        <v>55</v>
      </c>
      <c r="J22" s="14" t="s">
        <v>56</v>
      </c>
      <c r="K22" s="13" t="s">
        <v>26</v>
      </c>
      <c r="L22" s="14" t="s">
        <v>16</v>
      </c>
      <c r="M22" s="14" t="s">
        <v>57</v>
      </c>
      <c r="N22">
        <v>23</v>
      </c>
      <c r="O22">
        <v>26</v>
      </c>
    </row>
    <row r="23" spans="1:15" hidden="1" outlineLevel="1">
      <c r="A23" s="1" t="s">
        <v>58</v>
      </c>
      <c r="B23" s="1" t="s">
        <v>2</v>
      </c>
      <c r="C23" s="1" t="s">
        <v>17</v>
      </c>
      <c r="D23" s="1" t="s">
        <v>59</v>
      </c>
      <c r="E23" s="1" t="s">
        <v>60</v>
      </c>
      <c r="F23" s="1" t="s">
        <v>61</v>
      </c>
      <c r="G23" s="1" t="s">
        <v>19</v>
      </c>
      <c r="H23" s="1" t="s">
        <v>20</v>
      </c>
      <c r="I23" s="1" t="s">
        <v>21</v>
      </c>
      <c r="J23" s="1" t="s">
        <v>22</v>
      </c>
      <c r="K23" s="1" t="s">
        <v>62</v>
      </c>
      <c r="L23" s="1" t="s">
        <v>3</v>
      </c>
      <c r="M23" s="1" t="s">
        <v>63</v>
      </c>
    </row>
    <row r="24" spans="1:15" ht="30" hidden="1" outlineLevel="1">
      <c r="A24" s="2" t="s">
        <v>64</v>
      </c>
      <c r="B24" s="3" t="s">
        <v>15</v>
      </c>
      <c r="C24" s="3" t="s">
        <v>42</v>
      </c>
      <c r="D24" s="3" t="s">
        <v>101</v>
      </c>
      <c r="E24" s="3" t="s">
        <v>102</v>
      </c>
      <c r="F24" s="3" t="s">
        <v>71</v>
      </c>
      <c r="G24" s="8">
        <v>42.9</v>
      </c>
      <c r="H24" s="8">
        <v>45</v>
      </c>
      <c r="I24" s="15" t="s">
        <v>6</v>
      </c>
      <c r="J24" s="3" t="s">
        <v>43</v>
      </c>
      <c r="K24" s="2" t="s">
        <v>26</v>
      </c>
      <c r="L24" s="3" t="s">
        <v>16</v>
      </c>
      <c r="M24" s="3" t="s">
        <v>103</v>
      </c>
    </row>
    <row r="25" spans="1:15" ht="30" hidden="1" outlineLevel="1">
      <c r="A25" s="2" t="s">
        <v>64</v>
      </c>
      <c r="B25" s="3" t="s">
        <v>15</v>
      </c>
      <c r="C25" s="3" t="s">
        <v>44</v>
      </c>
      <c r="D25" s="3" t="s">
        <v>104</v>
      </c>
      <c r="E25" s="3" t="s">
        <v>105</v>
      </c>
      <c r="F25" s="3" t="s">
        <v>71</v>
      </c>
      <c r="G25" s="8">
        <v>1.8</v>
      </c>
      <c r="H25" s="8">
        <v>1.5</v>
      </c>
      <c r="I25" s="16" t="s">
        <v>7</v>
      </c>
      <c r="J25" s="3" t="s">
        <v>45</v>
      </c>
      <c r="K25" s="2" t="s">
        <v>26</v>
      </c>
      <c r="L25" s="3" t="s">
        <v>16</v>
      </c>
      <c r="M25" s="3" t="s">
        <v>106</v>
      </c>
    </row>
    <row r="26" spans="1:15" ht="30" hidden="1" outlineLevel="1">
      <c r="A26" s="2" t="s">
        <v>64</v>
      </c>
      <c r="B26" s="3" t="s">
        <v>15</v>
      </c>
      <c r="C26" s="3" t="s">
        <v>46</v>
      </c>
      <c r="D26" s="3" t="s">
        <v>107</v>
      </c>
      <c r="E26" s="3" t="s">
        <v>108</v>
      </c>
      <c r="F26" s="3" t="s">
        <v>109</v>
      </c>
      <c r="G26" s="12">
        <v>46</v>
      </c>
      <c r="H26" s="12">
        <v>50</v>
      </c>
      <c r="I26" s="16" t="s">
        <v>7</v>
      </c>
      <c r="J26" s="3" t="s">
        <v>47</v>
      </c>
      <c r="K26" s="2" t="s">
        <v>26</v>
      </c>
      <c r="L26" s="3" t="s">
        <v>16</v>
      </c>
      <c r="M26" s="3" t="s">
        <v>110</v>
      </c>
    </row>
  </sheetData>
  <mergeCells count="2">
    <mergeCell ref="A2:M2"/>
    <mergeCell ref="A1:M1"/>
  </mergeCells>
  <phoneticPr fontId="4" type="noConversion"/>
  <pageMargins left="0.75" right="0.75" top="1" bottom="1" header="0.5" footer="0.5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Summary</vt:lpstr>
      <vt:lpstr>Indicators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kelvinjason</cp:lastModifiedBy>
  <dcterms:created xsi:type="dcterms:W3CDTF">2026-04-08T06:39:44Z</dcterms:created>
  <dcterms:modified xsi:type="dcterms:W3CDTF">2026-04-08T06:50:16Z</dcterms:modified>
</cp:coreProperties>
</file>