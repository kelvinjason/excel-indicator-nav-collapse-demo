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ndicat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"/>
    <numFmt numFmtId="166" formatCode="$#,##0.0"/>
    <numFmt numFmtId="167" formatCode="#,##0.0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color rgb="000563C1"/>
      <u val="single"/>
    </font>
  </fonts>
  <fills count="8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E2E8F0"/>
      </patternFill>
    </fill>
    <fill>
      <patternFill patternType="solid">
        <fgColor rgb="00DBEAFE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top" wrapText="1"/>
    </xf>
    <xf numFmtId="3" fontId="0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67" fontId="0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left" vertical="top" wrapText="1"/>
    </xf>
    <xf numFmtId="0" fontId="0" fillId="7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ummaryIndicators" displayName="SummaryIndicators" ref="A11:I23" headerRowCount="1">
  <autoFilter ref="A11:I23"/>
  <tableColumns count="9">
    <tableColumn id="1" name="Category"/>
    <tableColumn id="2" name="Indicator ID"/>
    <tableColumn id="3" name="Indicator Name (clickable)"/>
    <tableColumn id="4" name="Current"/>
    <tableColumn id="5" name="Target"/>
    <tableColumn id="6" name="Status"/>
    <tableColumn id="7" name="Trend"/>
    <tableColumn id="8" name="Owner"/>
    <tableColumn id="9" name="Last Updat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bl_Traffic" displayName="Tbl_Traffic" ref="A5:M8" headerRowCount="1">
  <autoFilter ref="A5:M8"/>
  <tableColumns count="13">
    <tableColumn id="1" name="Toggle"/>
    <tableColumn id="2" name="Category"/>
    <tableColumn id="3" name="Indicator ID"/>
    <tableColumn id="4" name="Indicator Name"/>
    <tableColumn id="5" name="Definition"/>
    <tableColumn id="6" name="Unit"/>
    <tableColumn id="7" name="Current"/>
    <tableColumn id="8" name="Target"/>
    <tableColumn id="9" name="Status"/>
    <tableColumn id="10" name="Trend"/>
    <tableColumn id="11" name="Update Date"/>
    <tableColumn id="12" name="Owner"/>
    <tableColumn id="13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Conversion" displayName="Tbl_Conversion" ref="A11:M14" headerRowCount="1">
  <autoFilter ref="A11:M14"/>
  <tableColumns count="13">
    <tableColumn id="1" name="Toggle"/>
    <tableColumn id="2" name="Category"/>
    <tableColumn id="3" name="Indicator ID"/>
    <tableColumn id="4" name="Indicator Name"/>
    <tableColumn id="5" name="Definition"/>
    <tableColumn id="6" name="Unit"/>
    <tableColumn id="7" name="Current"/>
    <tableColumn id="8" name="Target"/>
    <tableColumn id="9" name="Status"/>
    <tableColumn id="10" name="Trend"/>
    <tableColumn id="11" name="Update Date"/>
    <tableColumn id="12" name="Owner"/>
    <tableColumn id="13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Revenue" displayName="Tbl_Revenue" ref="A17:M20" headerRowCount="1">
  <autoFilter ref="A17:M20"/>
  <tableColumns count="13">
    <tableColumn id="1" name="Toggle"/>
    <tableColumn id="2" name="Category"/>
    <tableColumn id="3" name="Indicator ID"/>
    <tableColumn id="4" name="Indicator Name"/>
    <tableColumn id="5" name="Definition"/>
    <tableColumn id="6" name="Unit"/>
    <tableColumn id="7" name="Current"/>
    <tableColumn id="8" name="Target"/>
    <tableColumn id="9" name="Status"/>
    <tableColumn id="10" name="Trend"/>
    <tableColumn id="11" name="Update Date"/>
    <tableColumn id="12" name="Owner"/>
    <tableColumn id="13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_Retention" displayName="Tbl_Retention" ref="A23:M26" headerRowCount="1">
  <autoFilter ref="A23:M26"/>
  <tableColumns count="13">
    <tableColumn id="1" name="Toggle"/>
    <tableColumn id="2" name="Category"/>
    <tableColumn id="3" name="Indicator ID"/>
    <tableColumn id="4" name="Indicator Name"/>
    <tableColumn id="5" name="Definition"/>
    <tableColumn id="6" name="Unit"/>
    <tableColumn id="7" name="Current"/>
    <tableColumn id="8" name="Target"/>
    <tableColumn id="9" name="Status"/>
    <tableColumn id="10" name="Trend"/>
    <tableColumn id="11" name="Update Date"/>
    <tableColumn id="12" name="Owner"/>
    <tableColumn id="13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Relationship Type="http://schemas.openxmlformats.org/officeDocument/2006/relationships/table" Target="/xl/tables/table3.xml" Id="rId2" /><Relationship Type="http://schemas.openxmlformats.org/officeDocument/2006/relationships/table" Target="/xl/tables/table4.xml" Id="rId3" /><Relationship Type="http://schemas.openxmlformats.org/officeDocument/2006/relationships/table" Target="/xl/tables/table5.xm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12" customWidth="1" min="4" max="4"/>
    <col width="12" customWidth="1" min="5" max="5"/>
    <col width="12" customWidth="1" min="6" max="6"/>
    <col width="12" customWidth="1" min="7" max="7"/>
    <col width="18" customWidth="1" min="8" max="8"/>
    <col width="14" customWidth="1" min="9" max="9"/>
  </cols>
  <sheetData>
    <row r="1">
      <c r="A1" s="1" t="inlineStr">
        <is>
          <t>Indicator Navigation Demo</t>
        </is>
      </c>
    </row>
    <row r="2">
      <c r="A2" s="2" t="inlineStr">
        <is>
          <t>Click an indicator name to jump to its detail anchor on the Indicators sheet. Indicator groups are collapsed by default in the detail sheet.</t>
        </is>
      </c>
    </row>
    <row r="4">
      <c r="A4" s="3" t="inlineStr">
        <is>
          <t>Category</t>
        </is>
      </c>
      <c r="B4" s="3" t="inlineStr">
        <is>
          <t>Owner</t>
        </is>
      </c>
      <c r="C4" s="3" t="inlineStr">
        <is>
          <t>Indicators</t>
        </is>
      </c>
      <c r="D4" s="3" t="inlineStr">
        <is>
          <t>On Track</t>
        </is>
      </c>
      <c r="E4" s="3" t="inlineStr">
        <is>
          <t>Watch</t>
        </is>
      </c>
      <c r="F4" s="3" t="inlineStr">
        <is>
          <t>Risk</t>
        </is>
      </c>
      <c r="G4" s="3" t="inlineStr">
        <is>
          <t>Avg. Progress</t>
        </is>
      </c>
    </row>
    <row r="5">
      <c r="A5" s="4" t="inlineStr">
        <is>
          <t>Traffic</t>
        </is>
      </c>
      <c r="B5" s="5" t="inlineStr">
        <is>
          <t>Growth Team</t>
        </is>
      </c>
      <c r="C5" s="4" t="n">
        <v>3</v>
      </c>
      <c r="D5" s="4" t="n">
        <v>0</v>
      </c>
      <c r="E5" s="4" t="n">
        <v>1</v>
      </c>
      <c r="F5" s="4" t="n">
        <v>2</v>
      </c>
      <c r="G5" s="6" t="n">
        <v>0.9301394668933936</v>
      </c>
    </row>
    <row r="6">
      <c r="A6" s="4" t="inlineStr">
        <is>
          <t>Conversion</t>
        </is>
      </c>
      <c r="B6" s="5" t="inlineStr">
        <is>
          <t>Product Team</t>
        </is>
      </c>
      <c r="C6" s="4" t="n">
        <v>3</v>
      </c>
      <c r="D6" s="4" t="n">
        <v>1</v>
      </c>
      <c r="E6" s="4" t="n">
        <v>1</v>
      </c>
      <c r="F6" s="4" t="n">
        <v>1</v>
      </c>
      <c r="G6" s="6" t="n">
        <v>0.9561904761904761</v>
      </c>
    </row>
    <row r="7">
      <c r="A7" s="4" t="inlineStr">
        <is>
          <t>Revenue</t>
        </is>
      </c>
      <c r="B7" s="5" t="inlineStr">
        <is>
          <t>Commercial Ops</t>
        </is>
      </c>
      <c r="C7" s="4" t="n">
        <v>3</v>
      </c>
      <c r="D7" s="4" t="n">
        <v>1</v>
      </c>
      <c r="E7" s="4" t="n">
        <v>2</v>
      </c>
      <c r="F7" s="4" t="n">
        <v>0</v>
      </c>
      <c r="G7" s="6" t="n">
        <v>0.9975396825396825</v>
      </c>
    </row>
    <row r="8">
      <c r="A8" s="4" t="inlineStr">
        <is>
          <t>Retention</t>
        </is>
      </c>
      <c r="B8" s="5" t="inlineStr">
        <is>
          <t>Customer Success</t>
        </is>
      </c>
      <c r="C8" s="4" t="n">
        <v>3</v>
      </c>
      <c r="D8" s="4" t="n">
        <v>0</v>
      </c>
      <c r="E8" s="4" t="n">
        <v>1</v>
      </c>
      <c r="F8" s="4" t="n">
        <v>2</v>
      </c>
      <c r="G8" s="6" t="n">
        <v>0.9022222222222221</v>
      </c>
    </row>
    <row r="11">
      <c r="A11" s="3" t="inlineStr">
        <is>
          <t>Category</t>
        </is>
      </c>
      <c r="B11" s="3" t="inlineStr">
        <is>
          <t>Indicator ID</t>
        </is>
      </c>
      <c r="C11" s="3" t="inlineStr">
        <is>
          <t>Indicator Name (clickable)</t>
        </is>
      </c>
      <c r="D11" s="3" t="inlineStr">
        <is>
          <t>Current</t>
        </is>
      </c>
      <c r="E11" s="3" t="inlineStr">
        <is>
          <t>Target</t>
        </is>
      </c>
      <c r="F11" s="3" t="inlineStr">
        <is>
          <t>Status</t>
        </is>
      </c>
      <c r="G11" s="3" t="inlineStr">
        <is>
          <t>Trend</t>
        </is>
      </c>
      <c r="H11" s="3" t="inlineStr">
        <is>
          <t>Owner</t>
        </is>
      </c>
      <c r="I11" s="3" t="inlineStr">
        <is>
          <t>Last Update</t>
        </is>
      </c>
    </row>
    <row r="12">
      <c r="A12" s="5" t="inlineStr">
        <is>
          <t>Traffic</t>
        </is>
      </c>
      <c r="B12" s="5" t="inlineStr">
        <is>
          <t>TRF-001</t>
        </is>
      </c>
      <c r="C12" s="7">
        <f>HYPERLINK("#'Indicators'!A6","Website Sessions")</f>
        <v/>
      </c>
      <c r="D12" s="8" t="n">
        <v>128400</v>
      </c>
      <c r="E12" s="8" t="n">
        <v>135000</v>
      </c>
      <c r="F12" s="9" t="inlineStr">
        <is>
          <t>Watch</t>
        </is>
      </c>
      <c r="G12" s="5" t="inlineStr">
        <is>
          <t>↗ +6.3%</t>
        </is>
      </c>
      <c r="H12" s="5" t="inlineStr">
        <is>
          <t>Growth Team</t>
        </is>
      </c>
      <c r="I12" s="5" t="inlineStr">
        <is>
          <t>2026-04-08</t>
        </is>
      </c>
    </row>
    <row r="13">
      <c r="A13" s="5" t="inlineStr">
        <is>
          <t>Traffic</t>
        </is>
      </c>
      <c r="B13" s="5" t="inlineStr">
        <is>
          <t>TRF-002</t>
        </is>
      </c>
      <c r="C13" s="7">
        <f>HYPERLINK("#'Indicators'!A7","Organic CTR")</f>
        <v/>
      </c>
      <c r="D13" s="10" t="n">
        <v>4.8</v>
      </c>
      <c r="E13" s="10" t="n">
        <v>5.2</v>
      </c>
      <c r="F13" s="11" t="inlineStr">
        <is>
          <t>Risk</t>
        </is>
      </c>
      <c r="G13" s="5" t="inlineStr">
        <is>
          <t>↗ +0.4pt</t>
        </is>
      </c>
      <c r="H13" s="5" t="inlineStr">
        <is>
          <t>Growth Team</t>
        </is>
      </c>
      <c r="I13" s="5" t="inlineStr">
        <is>
          <t>2026-04-08</t>
        </is>
      </c>
    </row>
    <row r="14">
      <c r="A14" s="5" t="inlineStr">
        <is>
          <t>Traffic</t>
        </is>
      </c>
      <c r="B14" s="5" t="inlineStr">
        <is>
          <t>TRF-003</t>
        </is>
      </c>
      <c r="C14" s="7">
        <f>HYPERLINK("#'Indicators'!A8","Landing Page Bounce Rate")</f>
        <v/>
      </c>
      <c r="D14" s="10" t="n">
        <v>38.2</v>
      </c>
      <c r="E14" s="10" t="n">
        <v>35</v>
      </c>
      <c r="F14" s="11" t="inlineStr">
        <is>
          <t>Risk</t>
        </is>
      </c>
      <c r="G14" s="5" t="inlineStr">
        <is>
          <t>↘ -1.1pt</t>
        </is>
      </c>
      <c r="H14" s="5" t="inlineStr">
        <is>
          <t>Growth Team</t>
        </is>
      </c>
      <c r="I14" s="5" t="inlineStr">
        <is>
          <t>2026-04-08</t>
        </is>
      </c>
    </row>
    <row r="15">
      <c r="A15" s="5" t="inlineStr">
        <is>
          <t>Conversion</t>
        </is>
      </c>
      <c r="B15" s="5" t="inlineStr">
        <is>
          <t>CNV-001</t>
        </is>
      </c>
      <c r="C15" s="7">
        <f>HYPERLINK("#'Indicators'!A12","Signup Conversion Rate")</f>
        <v/>
      </c>
      <c r="D15" s="10" t="n">
        <v>7.4</v>
      </c>
      <c r="E15" s="10" t="n">
        <v>7</v>
      </c>
      <c r="F15" s="12" t="inlineStr">
        <is>
          <t>On Track</t>
        </is>
      </c>
      <c r="G15" s="5" t="inlineStr">
        <is>
          <t>↗ +0.6pt</t>
        </is>
      </c>
      <c r="H15" s="5" t="inlineStr">
        <is>
          <t>Product Team</t>
        </is>
      </c>
      <c r="I15" s="5" t="inlineStr">
        <is>
          <t>2026-04-08</t>
        </is>
      </c>
    </row>
    <row r="16">
      <c r="A16" s="5" t="inlineStr">
        <is>
          <t>Conversion</t>
        </is>
      </c>
      <c r="B16" s="5" t="inlineStr">
        <is>
          <t>CNV-002</t>
        </is>
      </c>
      <c r="C16" s="7">
        <f>HYPERLINK("#'Indicators'!A13","Demo Request Rate")</f>
        <v/>
      </c>
      <c r="D16" s="10" t="n">
        <v>2.1</v>
      </c>
      <c r="E16" s="10" t="n">
        <v>2.5</v>
      </c>
      <c r="F16" s="11" t="inlineStr">
        <is>
          <t>Risk</t>
        </is>
      </c>
      <c r="G16" s="5" t="inlineStr">
        <is>
          <t>→ flat</t>
        </is>
      </c>
      <c r="H16" s="5" t="inlineStr">
        <is>
          <t>Product Team</t>
        </is>
      </c>
      <c r="I16" s="5" t="inlineStr">
        <is>
          <t>2026-04-08</t>
        </is>
      </c>
    </row>
    <row r="17">
      <c r="A17" s="5" t="inlineStr">
        <is>
          <t>Conversion</t>
        </is>
      </c>
      <c r="B17" s="5" t="inlineStr">
        <is>
          <t>CNV-003</t>
        </is>
      </c>
      <c r="C17" s="7">
        <f>HYPERLINK("#'Indicators'!A14","Checkout Completion Rate")</f>
        <v/>
      </c>
      <c r="D17" s="10" t="n">
        <v>81.59999999999999</v>
      </c>
      <c r="E17" s="10" t="n">
        <v>84</v>
      </c>
      <c r="F17" s="9" t="inlineStr">
        <is>
          <t>Watch</t>
        </is>
      </c>
      <c r="G17" s="5" t="inlineStr">
        <is>
          <t>↗ +1.2pt</t>
        </is>
      </c>
      <c r="H17" s="5" t="inlineStr">
        <is>
          <t>Product Team</t>
        </is>
      </c>
      <c r="I17" s="5" t="inlineStr">
        <is>
          <t>2026-04-08</t>
        </is>
      </c>
    </row>
    <row r="18">
      <c r="A18" s="5" t="inlineStr">
        <is>
          <t>Revenue</t>
        </is>
      </c>
      <c r="B18" s="5" t="inlineStr">
        <is>
          <t>REV-001</t>
        </is>
      </c>
      <c r="C18" s="7">
        <f>HYPERLINK("#'Indicators'!A18","Monthly Recurring Revenue")</f>
        <v/>
      </c>
      <c r="D18" s="13" t="n">
        <v>486000</v>
      </c>
      <c r="E18" s="13" t="n">
        <v>500000</v>
      </c>
      <c r="F18" s="9" t="inlineStr">
        <is>
          <t>Watch</t>
        </is>
      </c>
      <c r="G18" s="5" t="inlineStr">
        <is>
          <t>↗ +4.9%</t>
        </is>
      </c>
      <c r="H18" s="5" t="inlineStr">
        <is>
          <t>Commercial Ops</t>
        </is>
      </c>
      <c r="I18" s="5" t="inlineStr">
        <is>
          <t>2026-04-08</t>
        </is>
      </c>
    </row>
    <row r="19">
      <c r="A19" s="5" t="inlineStr">
        <is>
          <t>Revenue</t>
        </is>
      </c>
      <c r="B19" s="5" t="inlineStr">
        <is>
          <t>REV-002</t>
        </is>
      </c>
      <c r="C19" s="7">
        <f>HYPERLINK("#'Indicators'!A19","Average Order Value")</f>
        <v/>
      </c>
      <c r="D19" s="13" t="n">
        <v>182.4</v>
      </c>
      <c r="E19" s="13" t="n">
        <v>175</v>
      </c>
      <c r="F19" s="12" t="inlineStr">
        <is>
          <t>On Track</t>
        </is>
      </c>
      <c r="G19" s="5" t="inlineStr">
        <is>
          <t>↗ +3.1%</t>
        </is>
      </c>
      <c r="H19" s="5" t="inlineStr">
        <is>
          <t>Commercial Ops</t>
        </is>
      </c>
      <c r="I19" s="5" t="inlineStr">
        <is>
          <t>2026-04-08</t>
        </is>
      </c>
    </row>
    <row r="20">
      <c r="A20" s="5" t="inlineStr">
        <is>
          <t>Revenue</t>
        </is>
      </c>
      <c r="B20" s="5" t="inlineStr">
        <is>
          <t>REV-003</t>
        </is>
      </c>
      <c r="C20" s="7">
        <f>HYPERLINK("#'Indicators'!A20","Gross Margin")</f>
        <v/>
      </c>
      <c r="D20" s="10" t="n">
        <v>58.7</v>
      </c>
      <c r="E20" s="10" t="n">
        <v>60</v>
      </c>
      <c r="F20" s="9" t="inlineStr">
        <is>
          <t>Watch</t>
        </is>
      </c>
      <c r="G20" s="5" t="inlineStr">
        <is>
          <t>→ flat</t>
        </is>
      </c>
      <c r="H20" s="5" t="inlineStr">
        <is>
          <t>Commercial Ops</t>
        </is>
      </c>
      <c r="I20" s="5" t="inlineStr">
        <is>
          <t>2026-04-08</t>
        </is>
      </c>
    </row>
    <row r="21">
      <c r="A21" s="5" t="inlineStr">
        <is>
          <t>Retention</t>
        </is>
      </c>
      <c r="B21" s="5" t="inlineStr">
        <is>
          <t>RET-001</t>
        </is>
      </c>
      <c r="C21" s="7">
        <f>HYPERLINK("#'Indicators'!A24","30-Day Retention Rate")</f>
        <v/>
      </c>
      <c r="D21" s="10" t="n">
        <v>42.9</v>
      </c>
      <c r="E21" s="10" t="n">
        <v>45</v>
      </c>
      <c r="F21" s="9" t="inlineStr">
        <is>
          <t>Watch</t>
        </is>
      </c>
      <c r="G21" s="5" t="inlineStr">
        <is>
          <t>↗ +1.5pt</t>
        </is>
      </c>
      <c r="H21" s="5" t="inlineStr">
        <is>
          <t>Customer Success</t>
        </is>
      </c>
      <c r="I21" s="5" t="inlineStr">
        <is>
          <t>2026-04-08</t>
        </is>
      </c>
    </row>
    <row r="22">
      <c r="A22" s="5" t="inlineStr">
        <is>
          <t>Retention</t>
        </is>
      </c>
      <c r="B22" s="5" t="inlineStr">
        <is>
          <t>RET-002</t>
        </is>
      </c>
      <c r="C22" s="7">
        <f>HYPERLINK("#'Indicators'!A25","Logo Churn Rate")</f>
        <v/>
      </c>
      <c r="D22" s="10" t="n">
        <v>1.8</v>
      </c>
      <c r="E22" s="10" t="n">
        <v>1.5</v>
      </c>
      <c r="F22" s="11" t="inlineStr">
        <is>
          <t>Risk</t>
        </is>
      </c>
      <c r="G22" s="5" t="inlineStr">
        <is>
          <t>↘ -0.2pt</t>
        </is>
      </c>
      <c r="H22" s="5" t="inlineStr">
        <is>
          <t>Customer Success</t>
        </is>
      </c>
      <c r="I22" s="5" t="inlineStr">
        <is>
          <t>2026-04-08</t>
        </is>
      </c>
    </row>
    <row r="23">
      <c r="A23" s="5" t="inlineStr">
        <is>
          <t>Retention</t>
        </is>
      </c>
      <c r="B23" s="5" t="inlineStr">
        <is>
          <t>RET-003</t>
        </is>
      </c>
      <c r="C23" s="7">
        <f>HYPERLINK("#'Indicators'!A26","Net Promoter Score")</f>
        <v/>
      </c>
      <c r="D23" s="14" t="n">
        <v>46</v>
      </c>
      <c r="E23" s="14" t="n">
        <v>50</v>
      </c>
      <c r="F23" s="11" t="inlineStr">
        <is>
          <t>Risk</t>
        </is>
      </c>
      <c r="G23" s="5" t="inlineStr">
        <is>
          <t>↗ +3</t>
        </is>
      </c>
      <c r="H23" s="5" t="inlineStr">
        <is>
          <t>Customer Success</t>
        </is>
      </c>
      <c r="I23" s="5" t="inlineStr">
        <is>
          <t>2026-04-08</t>
        </is>
      </c>
    </row>
  </sheetData>
  <mergeCells count="2">
    <mergeCell ref="A1:I1"/>
    <mergeCell ref="A2:I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0" summaryRight="1"/>
    <pageSetUpPr/>
  </sheetPr>
  <dimension ref="A1:M26"/>
  <sheetViews>
    <sheetView showOutlineSymbol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28" customWidth="1" min="4" max="4"/>
    <col width="42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  <col width="14" customWidth="1" min="11" max="11"/>
    <col width="18" customWidth="1" min="12" max="12"/>
    <col width="42" customWidth="1" min="13" max="13"/>
  </cols>
  <sheetData>
    <row r="1">
      <c r="A1" s="1" t="inlineStr">
        <is>
          <t>Indicator Detail Sheet</t>
        </is>
      </c>
    </row>
    <row r="2">
      <c r="A2" s="2" t="inlineStr">
        <is>
          <t>Each category is collapsed by default. Use Excel's native outline +/- controls on the left to expand/collapse a category block.</t>
        </is>
      </c>
    </row>
    <row r="4">
      <c r="A4" s="15" t="inlineStr">
        <is>
          <t>＋</t>
        </is>
      </c>
      <c r="B4" s="16" t="inlineStr">
        <is>
          <t>Traffic</t>
        </is>
      </c>
      <c r="C4" s="16" t="inlineStr">
        <is>
          <t>CAT-01</t>
        </is>
      </c>
      <c r="D4" s="16" t="inlineStr">
        <is>
          <t>Traffic Indicators</t>
        </is>
      </c>
      <c r="E4" s="16" t="inlineStr">
        <is>
          <t>Category summary row. Expand below for the detailed table.</t>
        </is>
      </c>
      <c r="F4" s="16" t="inlineStr">
        <is>
          <t>-</t>
        </is>
      </c>
      <c r="G4" s="15" t="n">
        <v>3</v>
      </c>
      <c r="H4" s="15" t="inlineStr">
        <is>
          <t>-</t>
        </is>
      </c>
      <c r="I4" s="16" t="inlineStr">
        <is>
          <t>Collapsed by default</t>
        </is>
      </c>
      <c r="J4" s="16" t="inlineStr">
        <is>
          <t>Use outline +/-</t>
        </is>
      </c>
      <c r="K4" s="15" t="inlineStr">
        <is>
          <t>2026-04-08</t>
        </is>
      </c>
      <c r="L4" s="16" t="inlineStr">
        <is>
          <t>Growth Team</t>
        </is>
      </c>
      <c r="M4" s="16" t="inlineStr">
        <is>
          <t>Tip: click a Summary indicator to land on a specific detail row.</t>
        </is>
      </c>
    </row>
    <row r="5" hidden="1" outlineLevel="1">
      <c r="A5" s="3" t="inlineStr">
        <is>
          <t>Toggle</t>
        </is>
      </c>
      <c r="B5" s="3" t="inlineStr">
        <is>
          <t>Category</t>
        </is>
      </c>
      <c r="C5" s="3" t="inlineStr">
        <is>
          <t>Indicator ID</t>
        </is>
      </c>
      <c r="D5" s="3" t="inlineStr">
        <is>
          <t>Indicator Name</t>
        </is>
      </c>
      <c r="E5" s="3" t="inlineStr">
        <is>
          <t>Definition</t>
        </is>
      </c>
      <c r="F5" s="3" t="inlineStr">
        <is>
          <t>Unit</t>
        </is>
      </c>
      <c r="G5" s="3" t="inlineStr">
        <is>
          <t>Current</t>
        </is>
      </c>
      <c r="H5" s="3" t="inlineStr">
        <is>
          <t>Target</t>
        </is>
      </c>
      <c r="I5" s="3" t="inlineStr">
        <is>
          <t>Status</t>
        </is>
      </c>
      <c r="J5" s="3" t="inlineStr">
        <is>
          <t>Trend</t>
        </is>
      </c>
      <c r="K5" s="3" t="inlineStr">
        <is>
          <t>Update Date</t>
        </is>
      </c>
      <c r="L5" s="3" t="inlineStr">
        <is>
          <t>Owner</t>
        </is>
      </c>
      <c r="M5" s="3" t="inlineStr">
        <is>
          <t>Notes</t>
        </is>
      </c>
    </row>
    <row r="6" hidden="1" outlineLevel="1">
      <c r="A6" s="4" t="inlineStr">
        <is>
          <t>－</t>
        </is>
      </c>
      <c r="B6" s="5" t="inlineStr">
        <is>
          <t>Traffic</t>
        </is>
      </c>
      <c r="C6" s="5" t="inlineStr">
        <is>
          <t>TRF-001</t>
        </is>
      </c>
      <c r="D6" s="5" t="inlineStr">
        <is>
          <t>Website Sessions</t>
        </is>
      </c>
      <c r="E6" s="5" t="inlineStr">
        <is>
          <t>Total qualified sessions from all acquisition channels.</t>
        </is>
      </c>
      <c r="F6" s="5" t="inlineStr">
        <is>
          <t>sessions</t>
        </is>
      </c>
      <c r="G6" s="8" t="n">
        <v>128400</v>
      </c>
      <c r="H6" s="8" t="n">
        <v>135000</v>
      </c>
      <c r="I6" s="17" t="inlineStr">
        <is>
          <t>Watch</t>
        </is>
      </c>
      <c r="J6" s="5" t="inlineStr">
        <is>
          <t>↗ +6.3%</t>
        </is>
      </c>
      <c r="K6" s="4" t="inlineStr">
        <is>
          <t>2026-04-08</t>
        </is>
      </c>
      <c r="L6" s="5" t="inlineStr">
        <is>
          <t>Growth Team</t>
        </is>
      </c>
      <c r="M6" s="5" t="inlineStr">
        <is>
          <t>Strong uplift from paid social and SEO refresh.</t>
        </is>
      </c>
    </row>
    <row r="7" hidden="1" outlineLevel="1">
      <c r="A7" s="4" t="inlineStr">
        <is>
          <t>－</t>
        </is>
      </c>
      <c r="B7" s="5" t="inlineStr">
        <is>
          <t>Traffic</t>
        </is>
      </c>
      <c r="C7" s="5" t="inlineStr">
        <is>
          <t>TRF-002</t>
        </is>
      </c>
      <c r="D7" s="5" t="inlineStr">
        <is>
          <t>Organic CTR</t>
        </is>
      </c>
      <c r="E7" s="5" t="inlineStr">
        <is>
          <t>Click-through rate from organic search impressions.</t>
        </is>
      </c>
      <c r="F7" s="5" t="inlineStr">
        <is>
          <t>%</t>
        </is>
      </c>
      <c r="G7" s="10" t="n">
        <v>4.8</v>
      </c>
      <c r="H7" s="10" t="n">
        <v>5.2</v>
      </c>
      <c r="I7" s="18" t="inlineStr">
        <is>
          <t>Risk</t>
        </is>
      </c>
      <c r="J7" s="5" t="inlineStr">
        <is>
          <t>↗ +0.4pt</t>
        </is>
      </c>
      <c r="K7" s="4" t="inlineStr">
        <is>
          <t>2026-04-08</t>
        </is>
      </c>
      <c r="L7" s="5" t="inlineStr">
        <is>
          <t>Growth Team</t>
        </is>
      </c>
      <c r="M7" s="5" t="inlineStr">
        <is>
          <t>Meta title rewrite is improving click quality.</t>
        </is>
      </c>
    </row>
    <row r="8" hidden="1" outlineLevel="1">
      <c r="A8" s="4" t="inlineStr">
        <is>
          <t>－</t>
        </is>
      </c>
      <c r="B8" s="5" t="inlineStr">
        <is>
          <t>Traffic</t>
        </is>
      </c>
      <c r="C8" s="5" t="inlineStr">
        <is>
          <t>TRF-003</t>
        </is>
      </c>
      <c r="D8" s="5" t="inlineStr">
        <is>
          <t>Landing Page Bounce Rate</t>
        </is>
      </c>
      <c r="E8" s="5" t="inlineStr">
        <is>
          <t>Percentage of visitors leaving after viewing one page.</t>
        </is>
      </c>
      <c r="F8" s="5" t="inlineStr">
        <is>
          <t>%</t>
        </is>
      </c>
      <c r="G8" s="10" t="n">
        <v>38.2</v>
      </c>
      <c r="H8" s="10" t="n">
        <v>35</v>
      </c>
      <c r="I8" s="18" t="inlineStr">
        <is>
          <t>Risk</t>
        </is>
      </c>
      <c r="J8" s="5" t="inlineStr">
        <is>
          <t>↘ -1.1pt</t>
        </is>
      </c>
      <c r="K8" s="4" t="inlineStr">
        <is>
          <t>2026-04-08</t>
        </is>
      </c>
      <c r="L8" s="5" t="inlineStr">
        <is>
          <t>Growth Team</t>
        </is>
      </c>
      <c r="M8" s="5" t="inlineStr">
        <is>
          <t>Still above target; hero section content needs cleanup.</t>
        </is>
      </c>
    </row>
    <row r="10">
      <c r="A10" s="15" t="inlineStr">
        <is>
          <t>＋</t>
        </is>
      </c>
      <c r="B10" s="16" t="inlineStr">
        <is>
          <t>Conversion</t>
        </is>
      </c>
      <c r="C10" s="16" t="inlineStr">
        <is>
          <t>CAT-02</t>
        </is>
      </c>
      <c r="D10" s="16" t="inlineStr">
        <is>
          <t>Conversion Indicators</t>
        </is>
      </c>
      <c r="E10" s="16" t="inlineStr">
        <is>
          <t>Category summary row. Expand below for the detailed table.</t>
        </is>
      </c>
      <c r="F10" s="16" t="inlineStr">
        <is>
          <t>-</t>
        </is>
      </c>
      <c r="G10" s="15" t="n">
        <v>3</v>
      </c>
      <c r="H10" s="15" t="inlineStr">
        <is>
          <t>-</t>
        </is>
      </c>
      <c r="I10" s="16" t="inlineStr">
        <is>
          <t>Collapsed by default</t>
        </is>
      </c>
      <c r="J10" s="16" t="inlineStr">
        <is>
          <t>Use outline +/-</t>
        </is>
      </c>
      <c r="K10" s="15" t="inlineStr">
        <is>
          <t>2026-04-08</t>
        </is>
      </c>
      <c r="L10" s="16" t="inlineStr">
        <is>
          <t>Product Team</t>
        </is>
      </c>
      <c r="M10" s="16" t="inlineStr">
        <is>
          <t>Tip: click a Summary indicator to land on a specific detail row.</t>
        </is>
      </c>
    </row>
    <row r="11" hidden="1" outlineLevel="1">
      <c r="A11" s="3" t="inlineStr">
        <is>
          <t>Toggle</t>
        </is>
      </c>
      <c r="B11" s="3" t="inlineStr">
        <is>
          <t>Category</t>
        </is>
      </c>
      <c r="C11" s="3" t="inlineStr">
        <is>
          <t>Indicator ID</t>
        </is>
      </c>
      <c r="D11" s="3" t="inlineStr">
        <is>
          <t>Indicator Name</t>
        </is>
      </c>
      <c r="E11" s="3" t="inlineStr">
        <is>
          <t>Definition</t>
        </is>
      </c>
      <c r="F11" s="3" t="inlineStr">
        <is>
          <t>Unit</t>
        </is>
      </c>
      <c r="G11" s="3" t="inlineStr">
        <is>
          <t>Current</t>
        </is>
      </c>
      <c r="H11" s="3" t="inlineStr">
        <is>
          <t>Target</t>
        </is>
      </c>
      <c r="I11" s="3" t="inlineStr">
        <is>
          <t>Status</t>
        </is>
      </c>
      <c r="J11" s="3" t="inlineStr">
        <is>
          <t>Trend</t>
        </is>
      </c>
      <c r="K11" s="3" t="inlineStr">
        <is>
          <t>Update Date</t>
        </is>
      </c>
      <c r="L11" s="3" t="inlineStr">
        <is>
          <t>Owner</t>
        </is>
      </c>
      <c r="M11" s="3" t="inlineStr">
        <is>
          <t>Notes</t>
        </is>
      </c>
    </row>
    <row r="12" hidden="1" outlineLevel="1">
      <c r="A12" s="4" t="inlineStr">
        <is>
          <t>－</t>
        </is>
      </c>
      <c r="B12" s="5" t="inlineStr">
        <is>
          <t>Conversion</t>
        </is>
      </c>
      <c r="C12" s="5" t="inlineStr">
        <is>
          <t>CNV-001</t>
        </is>
      </c>
      <c r="D12" s="5" t="inlineStr">
        <is>
          <t>Signup Conversion Rate</t>
        </is>
      </c>
      <c r="E12" s="5" t="inlineStr">
        <is>
          <t>Percentage of visitors completing account registration.</t>
        </is>
      </c>
      <c r="F12" s="5" t="inlineStr">
        <is>
          <t>%</t>
        </is>
      </c>
      <c r="G12" s="10" t="n">
        <v>7.4</v>
      </c>
      <c r="H12" s="10" t="n">
        <v>7</v>
      </c>
      <c r="I12" s="19" t="inlineStr">
        <is>
          <t>On Track</t>
        </is>
      </c>
      <c r="J12" s="5" t="inlineStr">
        <is>
          <t>↗ +0.6pt</t>
        </is>
      </c>
      <c r="K12" s="4" t="inlineStr">
        <is>
          <t>2026-04-08</t>
        </is>
      </c>
      <c r="L12" s="5" t="inlineStr">
        <is>
          <t>Product Team</t>
        </is>
      </c>
      <c r="M12" s="5" t="inlineStr">
        <is>
          <t>New registration flow reduced drop-off on mobile.</t>
        </is>
      </c>
    </row>
    <row r="13" hidden="1" outlineLevel="1">
      <c r="A13" s="4" t="inlineStr">
        <is>
          <t>－</t>
        </is>
      </c>
      <c r="B13" s="5" t="inlineStr">
        <is>
          <t>Conversion</t>
        </is>
      </c>
      <c r="C13" s="5" t="inlineStr">
        <is>
          <t>CNV-002</t>
        </is>
      </c>
      <c r="D13" s="5" t="inlineStr">
        <is>
          <t>Demo Request Rate</t>
        </is>
      </c>
      <c r="E13" s="5" t="inlineStr">
        <is>
          <t>Share of qualified leads requesting a product demo.</t>
        </is>
      </c>
      <c r="F13" s="5" t="inlineStr">
        <is>
          <t>%</t>
        </is>
      </c>
      <c r="G13" s="10" t="n">
        <v>2.1</v>
      </c>
      <c r="H13" s="10" t="n">
        <v>2.5</v>
      </c>
      <c r="I13" s="18" t="inlineStr">
        <is>
          <t>Risk</t>
        </is>
      </c>
      <c r="J13" s="5" t="inlineStr">
        <is>
          <t>→ flat</t>
        </is>
      </c>
      <c r="K13" s="4" t="inlineStr">
        <is>
          <t>2026-04-08</t>
        </is>
      </c>
      <c r="L13" s="5" t="inlineStr">
        <is>
          <t>Product Team</t>
        </is>
      </c>
      <c r="M13" s="5" t="inlineStr">
        <is>
          <t>CTA wording is under A/B test this week.</t>
        </is>
      </c>
    </row>
    <row r="14" hidden="1" outlineLevel="1">
      <c r="A14" s="4" t="inlineStr">
        <is>
          <t>－</t>
        </is>
      </c>
      <c r="B14" s="5" t="inlineStr">
        <is>
          <t>Conversion</t>
        </is>
      </c>
      <c r="C14" s="5" t="inlineStr">
        <is>
          <t>CNV-003</t>
        </is>
      </c>
      <c r="D14" s="5" t="inlineStr">
        <is>
          <t>Checkout Completion Rate</t>
        </is>
      </c>
      <c r="E14" s="5" t="inlineStr">
        <is>
          <t>Percentage of carts that complete payment successfully.</t>
        </is>
      </c>
      <c r="F14" s="5" t="inlineStr">
        <is>
          <t>%</t>
        </is>
      </c>
      <c r="G14" s="10" t="n">
        <v>81.59999999999999</v>
      </c>
      <c r="H14" s="10" t="n">
        <v>84</v>
      </c>
      <c r="I14" s="17" t="inlineStr">
        <is>
          <t>Watch</t>
        </is>
      </c>
      <c r="J14" s="5" t="inlineStr">
        <is>
          <t>↗ +1.2pt</t>
        </is>
      </c>
      <c r="K14" s="4" t="inlineStr">
        <is>
          <t>2026-04-08</t>
        </is>
      </c>
      <c r="L14" s="5" t="inlineStr">
        <is>
          <t>Product Team</t>
        </is>
      </c>
      <c r="M14" s="5" t="inlineStr">
        <is>
          <t>Payment retries helped but address validation is still noisy.</t>
        </is>
      </c>
    </row>
    <row r="16">
      <c r="A16" s="15" t="inlineStr">
        <is>
          <t>＋</t>
        </is>
      </c>
      <c r="B16" s="16" t="inlineStr">
        <is>
          <t>Revenue</t>
        </is>
      </c>
      <c r="C16" s="16" t="inlineStr">
        <is>
          <t>CAT-03</t>
        </is>
      </c>
      <c r="D16" s="16" t="inlineStr">
        <is>
          <t>Revenue Indicators</t>
        </is>
      </c>
      <c r="E16" s="16" t="inlineStr">
        <is>
          <t>Category summary row. Expand below for the detailed table.</t>
        </is>
      </c>
      <c r="F16" s="16" t="inlineStr">
        <is>
          <t>-</t>
        </is>
      </c>
      <c r="G16" s="15" t="n">
        <v>3</v>
      </c>
      <c r="H16" s="15" t="inlineStr">
        <is>
          <t>-</t>
        </is>
      </c>
      <c r="I16" s="16" t="inlineStr">
        <is>
          <t>Collapsed by default</t>
        </is>
      </c>
      <c r="J16" s="16" t="inlineStr">
        <is>
          <t>Use outline +/-</t>
        </is>
      </c>
      <c r="K16" s="15" t="inlineStr">
        <is>
          <t>2026-04-08</t>
        </is>
      </c>
      <c r="L16" s="16" t="inlineStr">
        <is>
          <t>Commercial Ops</t>
        </is>
      </c>
      <c r="M16" s="16" t="inlineStr">
        <is>
          <t>Tip: click a Summary indicator to land on a specific detail row.</t>
        </is>
      </c>
    </row>
    <row r="17" hidden="1" outlineLevel="1">
      <c r="A17" s="3" t="inlineStr">
        <is>
          <t>Toggle</t>
        </is>
      </c>
      <c r="B17" s="3" t="inlineStr">
        <is>
          <t>Category</t>
        </is>
      </c>
      <c r="C17" s="3" t="inlineStr">
        <is>
          <t>Indicator ID</t>
        </is>
      </c>
      <c r="D17" s="3" t="inlineStr">
        <is>
          <t>Indicator Name</t>
        </is>
      </c>
      <c r="E17" s="3" t="inlineStr">
        <is>
          <t>Definition</t>
        </is>
      </c>
      <c r="F17" s="3" t="inlineStr">
        <is>
          <t>Unit</t>
        </is>
      </c>
      <c r="G17" s="3" t="inlineStr">
        <is>
          <t>Current</t>
        </is>
      </c>
      <c r="H17" s="3" t="inlineStr">
        <is>
          <t>Target</t>
        </is>
      </c>
      <c r="I17" s="3" t="inlineStr">
        <is>
          <t>Status</t>
        </is>
      </c>
      <c r="J17" s="3" t="inlineStr">
        <is>
          <t>Trend</t>
        </is>
      </c>
      <c r="K17" s="3" t="inlineStr">
        <is>
          <t>Update Date</t>
        </is>
      </c>
      <c r="L17" s="3" t="inlineStr">
        <is>
          <t>Owner</t>
        </is>
      </c>
      <c r="M17" s="3" t="inlineStr">
        <is>
          <t>Notes</t>
        </is>
      </c>
    </row>
    <row r="18" hidden="1" outlineLevel="1">
      <c r="A18" s="4" t="inlineStr">
        <is>
          <t>－</t>
        </is>
      </c>
      <c r="B18" s="5" t="inlineStr">
        <is>
          <t>Revenue</t>
        </is>
      </c>
      <c r="C18" s="5" t="inlineStr">
        <is>
          <t>REV-001</t>
        </is>
      </c>
      <c r="D18" s="5" t="inlineStr">
        <is>
          <t>Monthly Recurring Revenue</t>
        </is>
      </c>
      <c r="E18" s="5" t="inlineStr">
        <is>
          <t>Recurring subscription revenue recognized in the month.</t>
        </is>
      </c>
      <c r="F18" s="5" t="inlineStr">
        <is>
          <t>USD</t>
        </is>
      </c>
      <c r="G18" s="13" t="n">
        <v>486000</v>
      </c>
      <c r="H18" s="13" t="n">
        <v>500000</v>
      </c>
      <c r="I18" s="17" t="inlineStr">
        <is>
          <t>Watch</t>
        </is>
      </c>
      <c r="J18" s="5" t="inlineStr">
        <is>
          <t>↗ +4.9%</t>
        </is>
      </c>
      <c r="K18" s="4" t="inlineStr">
        <is>
          <t>2026-04-08</t>
        </is>
      </c>
      <c r="L18" s="5" t="inlineStr">
        <is>
          <t>Commercial Ops</t>
        </is>
      </c>
      <c r="M18" s="5" t="inlineStr">
        <is>
          <t>Enterprise expansion deals are pacing slightly behind plan.</t>
        </is>
      </c>
    </row>
    <row r="19" hidden="1" outlineLevel="1">
      <c r="A19" s="4" t="inlineStr">
        <is>
          <t>－</t>
        </is>
      </c>
      <c r="B19" s="5" t="inlineStr">
        <is>
          <t>Revenue</t>
        </is>
      </c>
      <c r="C19" s="5" t="inlineStr">
        <is>
          <t>REV-002</t>
        </is>
      </c>
      <c r="D19" s="5" t="inlineStr">
        <is>
          <t>Average Order Value</t>
        </is>
      </c>
      <c r="E19" s="5" t="inlineStr">
        <is>
          <t>Average net order value after discounts and returns.</t>
        </is>
      </c>
      <c r="F19" s="5" t="inlineStr">
        <is>
          <t>USD</t>
        </is>
      </c>
      <c r="G19" s="13" t="n">
        <v>182.4</v>
      </c>
      <c r="H19" s="13" t="n">
        <v>175</v>
      </c>
      <c r="I19" s="19" t="inlineStr">
        <is>
          <t>On Track</t>
        </is>
      </c>
      <c r="J19" s="5" t="inlineStr">
        <is>
          <t>↗ +3.1%</t>
        </is>
      </c>
      <c r="K19" s="4" t="inlineStr">
        <is>
          <t>2026-04-08</t>
        </is>
      </c>
      <c r="L19" s="5" t="inlineStr">
        <is>
          <t>Commercial Ops</t>
        </is>
      </c>
      <c r="M19" s="5" t="inlineStr">
        <is>
          <t>Bundle attach rate improved after pricing refresh.</t>
        </is>
      </c>
    </row>
    <row r="20" hidden="1" outlineLevel="1">
      <c r="A20" s="4" t="inlineStr">
        <is>
          <t>－</t>
        </is>
      </c>
      <c r="B20" s="5" t="inlineStr">
        <is>
          <t>Revenue</t>
        </is>
      </c>
      <c r="C20" s="5" t="inlineStr">
        <is>
          <t>REV-003</t>
        </is>
      </c>
      <c r="D20" s="5" t="inlineStr">
        <is>
          <t>Gross Margin</t>
        </is>
      </c>
      <c r="E20" s="5" t="inlineStr">
        <is>
          <t>Revenue remaining after direct cost of goods sold.</t>
        </is>
      </c>
      <c r="F20" s="5" t="inlineStr">
        <is>
          <t>%</t>
        </is>
      </c>
      <c r="G20" s="10" t="n">
        <v>58.7</v>
      </c>
      <c r="H20" s="10" t="n">
        <v>60</v>
      </c>
      <c r="I20" s="17" t="inlineStr">
        <is>
          <t>Watch</t>
        </is>
      </c>
      <c r="J20" s="5" t="inlineStr">
        <is>
          <t>→ flat</t>
        </is>
      </c>
      <c r="K20" s="4" t="inlineStr">
        <is>
          <t>2026-04-08</t>
        </is>
      </c>
      <c r="L20" s="5" t="inlineStr">
        <is>
          <t>Commercial Ops</t>
        </is>
      </c>
      <c r="M20" s="5" t="inlineStr">
        <is>
          <t>Fulfillment cost spike dragged margin in week 1.</t>
        </is>
      </c>
    </row>
    <row r="22">
      <c r="A22" s="15" t="inlineStr">
        <is>
          <t>＋</t>
        </is>
      </c>
      <c r="B22" s="16" t="inlineStr">
        <is>
          <t>Retention</t>
        </is>
      </c>
      <c r="C22" s="16" t="inlineStr">
        <is>
          <t>CAT-04</t>
        </is>
      </c>
      <c r="D22" s="16" t="inlineStr">
        <is>
          <t>Retention Indicators</t>
        </is>
      </c>
      <c r="E22" s="16" t="inlineStr">
        <is>
          <t>Category summary row. Expand below for the detailed table.</t>
        </is>
      </c>
      <c r="F22" s="16" t="inlineStr">
        <is>
          <t>-</t>
        </is>
      </c>
      <c r="G22" s="15" t="n">
        <v>3</v>
      </c>
      <c r="H22" s="15" t="inlineStr">
        <is>
          <t>-</t>
        </is>
      </c>
      <c r="I22" s="16" t="inlineStr">
        <is>
          <t>Collapsed by default</t>
        </is>
      </c>
      <c r="J22" s="16" t="inlineStr">
        <is>
          <t>Use outline +/-</t>
        </is>
      </c>
      <c r="K22" s="15" t="inlineStr">
        <is>
          <t>2026-04-08</t>
        </is>
      </c>
      <c r="L22" s="16" t="inlineStr">
        <is>
          <t>Customer Success</t>
        </is>
      </c>
      <c r="M22" s="16" t="inlineStr">
        <is>
          <t>Tip: click a Summary indicator to land on a specific detail row.</t>
        </is>
      </c>
    </row>
    <row r="23" hidden="1" outlineLevel="1">
      <c r="A23" s="3" t="inlineStr">
        <is>
          <t>Toggle</t>
        </is>
      </c>
      <c r="B23" s="3" t="inlineStr">
        <is>
          <t>Category</t>
        </is>
      </c>
      <c r="C23" s="3" t="inlineStr">
        <is>
          <t>Indicator ID</t>
        </is>
      </c>
      <c r="D23" s="3" t="inlineStr">
        <is>
          <t>Indicator Name</t>
        </is>
      </c>
      <c r="E23" s="3" t="inlineStr">
        <is>
          <t>Definition</t>
        </is>
      </c>
      <c r="F23" s="3" t="inlineStr">
        <is>
          <t>Unit</t>
        </is>
      </c>
      <c r="G23" s="3" t="inlineStr">
        <is>
          <t>Current</t>
        </is>
      </c>
      <c r="H23" s="3" t="inlineStr">
        <is>
          <t>Target</t>
        </is>
      </c>
      <c r="I23" s="3" t="inlineStr">
        <is>
          <t>Status</t>
        </is>
      </c>
      <c r="J23" s="3" t="inlineStr">
        <is>
          <t>Trend</t>
        </is>
      </c>
      <c r="K23" s="3" t="inlineStr">
        <is>
          <t>Update Date</t>
        </is>
      </c>
      <c r="L23" s="3" t="inlineStr">
        <is>
          <t>Owner</t>
        </is>
      </c>
      <c r="M23" s="3" t="inlineStr">
        <is>
          <t>Notes</t>
        </is>
      </c>
    </row>
    <row r="24" hidden="1" outlineLevel="1">
      <c r="A24" s="4" t="inlineStr">
        <is>
          <t>－</t>
        </is>
      </c>
      <c r="B24" s="5" t="inlineStr">
        <is>
          <t>Retention</t>
        </is>
      </c>
      <c r="C24" s="5" t="inlineStr">
        <is>
          <t>RET-001</t>
        </is>
      </c>
      <c r="D24" s="5" t="inlineStr">
        <is>
          <t>30-Day Retention Rate</t>
        </is>
      </c>
      <c r="E24" s="5" t="inlineStr">
        <is>
          <t>Percentage of new users active again within 30 days.</t>
        </is>
      </c>
      <c r="F24" s="5" t="inlineStr">
        <is>
          <t>%</t>
        </is>
      </c>
      <c r="G24" s="10" t="n">
        <v>42.9</v>
      </c>
      <c r="H24" s="10" t="n">
        <v>45</v>
      </c>
      <c r="I24" s="17" t="inlineStr">
        <is>
          <t>Watch</t>
        </is>
      </c>
      <c r="J24" s="5" t="inlineStr">
        <is>
          <t>↗ +1.5pt</t>
        </is>
      </c>
      <c r="K24" s="4" t="inlineStr">
        <is>
          <t>2026-04-08</t>
        </is>
      </c>
      <c r="L24" s="5" t="inlineStr">
        <is>
          <t>Customer Success</t>
        </is>
      </c>
      <c r="M24" s="5" t="inlineStr">
        <is>
          <t>Lifecycle messaging helped but activation still needs work.</t>
        </is>
      </c>
    </row>
    <row r="25" hidden="1" outlineLevel="1">
      <c r="A25" s="4" t="inlineStr">
        <is>
          <t>－</t>
        </is>
      </c>
      <c r="B25" s="5" t="inlineStr">
        <is>
          <t>Retention</t>
        </is>
      </c>
      <c r="C25" s="5" t="inlineStr">
        <is>
          <t>RET-002</t>
        </is>
      </c>
      <c r="D25" s="5" t="inlineStr">
        <is>
          <t>Logo Churn Rate</t>
        </is>
      </c>
      <c r="E25" s="5" t="inlineStr">
        <is>
          <t>Percentage of active customers lost during the month.</t>
        </is>
      </c>
      <c r="F25" s="5" t="inlineStr">
        <is>
          <t>%</t>
        </is>
      </c>
      <c r="G25" s="10" t="n">
        <v>1.8</v>
      </c>
      <c r="H25" s="10" t="n">
        <v>1.5</v>
      </c>
      <c r="I25" s="18" t="inlineStr">
        <is>
          <t>Risk</t>
        </is>
      </c>
      <c r="J25" s="5" t="inlineStr">
        <is>
          <t>↘ -0.2pt</t>
        </is>
      </c>
      <c r="K25" s="4" t="inlineStr">
        <is>
          <t>2026-04-08</t>
        </is>
      </c>
      <c r="L25" s="5" t="inlineStr">
        <is>
          <t>Customer Success</t>
        </is>
      </c>
      <c r="M25" s="5" t="inlineStr">
        <is>
          <t>Improving, but still above the acceptable threshold.</t>
        </is>
      </c>
    </row>
    <row r="26" hidden="1" outlineLevel="1">
      <c r="A26" s="4" t="inlineStr">
        <is>
          <t>－</t>
        </is>
      </c>
      <c r="B26" s="5" t="inlineStr">
        <is>
          <t>Retention</t>
        </is>
      </c>
      <c r="C26" s="5" t="inlineStr">
        <is>
          <t>RET-003</t>
        </is>
      </c>
      <c r="D26" s="5" t="inlineStr">
        <is>
          <t>Net Promoter Score</t>
        </is>
      </c>
      <c r="E26" s="5" t="inlineStr">
        <is>
          <t>Customer advocacy score from post-interaction surveys.</t>
        </is>
      </c>
      <c r="F26" s="5" t="inlineStr">
        <is>
          <t>score</t>
        </is>
      </c>
      <c r="G26" s="14" t="n">
        <v>46</v>
      </c>
      <c r="H26" s="14" t="n">
        <v>50</v>
      </c>
      <c r="I26" s="18" t="inlineStr">
        <is>
          <t>Risk</t>
        </is>
      </c>
      <c r="J26" s="5" t="inlineStr">
        <is>
          <t>↗ +3</t>
        </is>
      </c>
      <c r="K26" s="4" t="inlineStr">
        <is>
          <t>2026-04-08</t>
        </is>
      </c>
      <c r="L26" s="5" t="inlineStr">
        <is>
          <t>Customer Success</t>
        </is>
      </c>
      <c r="M26" s="5" t="inlineStr">
        <is>
          <t>Support quality gains are visible in promoter comments.</t>
        </is>
      </c>
    </row>
  </sheetData>
  <mergeCells count="2">
    <mergeCell ref="A2:M2"/>
    <mergeCell ref="A1:M1"/>
  </mergeCell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2026-04-08T06:24:06Z</dcterms:created>
  <dcterms:modified xsi:type="dcterms:W3CDTF">2026-04-08T06:24:06Z</dcterms:modified>
</cp:coreProperties>
</file>